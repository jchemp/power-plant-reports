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15" windowWidth="20730" windowHeight="9180" tabRatio="552"/>
  </bookViews>
  <sheets>
    <sheet name="Energy Settlements" sheetId="5" r:id="rId1"/>
    <sheet name="Energy Pivot" sheetId="4" r:id="rId2"/>
    <sheet name="Settlements Data" sheetId="3" r:id="rId3"/>
    <sheet name="CUG List" sheetId="9" r:id="rId4"/>
  </sheets>
  <definedNames>
    <definedName name="_xlnm._FilterDatabase" localSheetId="3" hidden="1">'CUG List'!$A$1:$F$41</definedName>
    <definedName name="_xlnm._FilterDatabase" localSheetId="2" hidden="1">'Settlements Data'!$A$1:$AF$41</definedName>
    <definedName name="_xlnm.Print_Area" localSheetId="0">'Energy Settlements'!$A$1:$Y$79</definedName>
    <definedName name="_xlnm.Print_Titles" localSheetId="0">'Energy Settlements'!$1:$5</definedName>
  </definedNames>
  <calcPr calcId="145621"/>
  <pivotCaches>
    <pivotCache cacheId="7" r:id="rId5"/>
  </pivotCaches>
</workbook>
</file>

<file path=xl/calcChain.xml><?xml version="1.0" encoding="utf-8"?>
<calcChain xmlns="http://schemas.openxmlformats.org/spreadsheetml/2006/main">
  <c r="C52" i="5" l="1"/>
  <c r="C51" i="5"/>
  <c r="C53" i="5"/>
  <c r="C50" i="5"/>
  <c r="X7" i="5" l="1"/>
  <c r="X54" i="5"/>
  <c r="X53" i="5"/>
  <c r="X52" i="5"/>
  <c r="X51" i="5"/>
  <c r="X50" i="5"/>
  <c r="X49" i="5"/>
  <c r="X48" i="5"/>
  <c r="X47" i="5"/>
  <c r="X46" i="5"/>
  <c r="X45" i="5"/>
  <c r="X44" i="5"/>
  <c r="X8" i="5"/>
  <c r="X9" i="5"/>
  <c r="X10" i="5"/>
  <c r="X11" i="5"/>
  <c r="X12" i="5"/>
  <c r="X13" i="5"/>
  <c r="X14" i="5"/>
  <c r="X15" i="5"/>
  <c r="X16" i="5"/>
  <c r="X17" i="5"/>
  <c r="X18" i="5"/>
  <c r="X19" i="5"/>
  <c r="X20" i="5"/>
  <c r="X21" i="5"/>
  <c r="X22" i="5"/>
  <c r="X23" i="5"/>
  <c r="X24" i="5"/>
  <c r="X25" i="5"/>
  <c r="X26" i="5"/>
  <c r="X27" i="5"/>
  <c r="X28" i="5"/>
  <c r="X29" i="5"/>
  <c r="X30" i="5"/>
  <c r="X31" i="5"/>
  <c r="X32" i="5"/>
  <c r="X33" i="5"/>
  <c r="X34" i="5"/>
  <c r="X35" i="5"/>
  <c r="X36" i="5"/>
  <c r="X37" i="5"/>
  <c r="X38" i="5"/>
  <c r="X39" i="5"/>
  <c r="X40" i="5"/>
  <c r="X41" i="5"/>
  <c r="X42" i="5"/>
  <c r="X43" i="5"/>
  <c r="X6" i="5"/>
  <c r="I43" i="9" l="1"/>
  <c r="I44" i="9"/>
  <c r="I45" i="9"/>
  <c r="I42" i="9"/>
  <c r="J42" i="9"/>
  <c r="J43" i="9"/>
  <c r="J44" i="9"/>
  <c r="J45" i="9"/>
  <c r="I3" i="9" l="1"/>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2" i="9"/>
  <c r="C45" i="5"/>
  <c r="C30" i="5"/>
  <c r="C28" i="5"/>
  <c r="C41" i="5"/>
  <c r="C7" i="5"/>
  <c r="C48" i="5"/>
  <c r="C47" i="5"/>
  <c r="C31" i="5" l="1"/>
  <c r="C32" i="5"/>
  <c r="C33" i="5"/>
  <c r="C34" i="5"/>
  <c r="C35" i="5"/>
  <c r="C36" i="5"/>
  <c r="C37" i="5"/>
  <c r="C38" i="5"/>
  <c r="C39" i="5"/>
  <c r="C40" i="5"/>
  <c r="C42" i="5"/>
  <c r="C43" i="5"/>
  <c r="C29" i="5"/>
  <c r="C9" i="5"/>
  <c r="C10" i="5"/>
  <c r="C11" i="5"/>
  <c r="C12" i="5"/>
  <c r="C13" i="5"/>
  <c r="C14" i="5"/>
  <c r="C15" i="5"/>
  <c r="C16" i="5"/>
  <c r="C17" i="5"/>
  <c r="C18" i="5"/>
  <c r="C19" i="5"/>
  <c r="C20" i="5"/>
  <c r="C21" i="5"/>
  <c r="C22" i="5"/>
  <c r="C23" i="5"/>
  <c r="C24" i="5"/>
  <c r="C25" i="5"/>
  <c r="C26" i="5"/>
  <c r="C27" i="5"/>
  <c r="C8" i="5"/>
  <c r="J41" i="9" l="1"/>
  <c r="J40" i="9"/>
  <c r="J39" i="9"/>
  <c r="J38" i="9"/>
  <c r="J37" i="9"/>
  <c r="J36" i="9"/>
  <c r="J35" i="9"/>
  <c r="J34" i="9"/>
  <c r="J33" i="9"/>
  <c r="J32" i="9"/>
  <c r="J31" i="9"/>
  <c r="J30" i="9"/>
  <c r="J29" i="9"/>
  <c r="J28" i="9"/>
  <c r="J27" i="9"/>
  <c r="J26" i="9"/>
  <c r="J25" i="9"/>
  <c r="J24" i="9"/>
  <c r="J23" i="9"/>
  <c r="J22" i="9"/>
  <c r="J21" i="9"/>
  <c r="J20" i="9"/>
  <c r="J19" i="9"/>
  <c r="J18" i="9"/>
  <c r="J17" i="9"/>
  <c r="J16" i="9"/>
  <c r="J15" i="9"/>
  <c r="J14" i="9"/>
  <c r="J13" i="9"/>
  <c r="J12" i="9"/>
  <c r="J11" i="9"/>
  <c r="J10" i="9"/>
  <c r="J9" i="9"/>
  <c r="J8" i="9"/>
  <c r="J7" i="9"/>
  <c r="J6" i="9"/>
  <c r="J5" i="9"/>
  <c r="J4" i="9"/>
  <c r="J3" i="9"/>
  <c r="J2" i="9"/>
</calcChain>
</file>

<file path=xl/sharedStrings.xml><?xml version="1.0" encoding="utf-8"?>
<sst xmlns="http://schemas.openxmlformats.org/spreadsheetml/2006/main" count="728" uniqueCount="252">
  <si>
    <t>AREA</t>
  </si>
  <si>
    <t>RESOURCE_NAME</t>
  </si>
  <si>
    <t>PRIORITY</t>
  </si>
  <si>
    <t>RESOURCE_TYPE</t>
  </si>
  <si>
    <t>GEN</t>
  </si>
  <si>
    <t>Uninstructed Settlement Amount</t>
  </si>
  <si>
    <t>Uninstructed MWh (Gross)</t>
  </si>
  <si>
    <t>Row Labels</t>
  </si>
  <si>
    <t>Grand Total</t>
  </si>
  <si>
    <t>TOTAL_ENERGY_AMOUNT</t>
  </si>
  <si>
    <t>TOTAL_CAPACITY_AMOUNT</t>
  </si>
  <si>
    <t>TOTAL_OUTPUT_MWH</t>
  </si>
  <si>
    <t>UNINSTRUCTED_MWH_GROSS</t>
  </si>
  <si>
    <t>CC6475</t>
  </si>
  <si>
    <t>Sum of UNINSTRUCTED_MWH_GROSS</t>
  </si>
  <si>
    <t>Sum of CC6475</t>
  </si>
  <si>
    <t>Sum of TOTAL_OUTPUT_MWH</t>
  </si>
  <si>
    <t>Sum of TOTAL_ENERGY_AMOUNT</t>
  </si>
  <si>
    <t>Sum of TOTAL_CAPACITY_AMOUNT</t>
  </si>
  <si>
    <t>Energy Settlements</t>
  </si>
  <si>
    <t>Capacity Settlements</t>
  </si>
  <si>
    <t>Negative $ value = Charge</t>
  </si>
  <si>
    <t>A</t>
  </si>
  <si>
    <t>B</t>
  </si>
  <si>
    <t>C</t>
  </si>
  <si>
    <t>D</t>
  </si>
  <si>
    <t>E</t>
  </si>
  <si>
    <t>F</t>
  </si>
  <si>
    <t>G</t>
  </si>
  <si>
    <t>H</t>
  </si>
  <si>
    <t>I</t>
  </si>
  <si>
    <t>Resource</t>
  </si>
  <si>
    <t>P-Max</t>
  </si>
  <si>
    <t>Report Title Descriptions</t>
  </si>
  <si>
    <t>Column</t>
  </si>
  <si>
    <t>Title</t>
  </si>
  <si>
    <t>Description</t>
  </si>
  <si>
    <t>Gross MW deviation from final schedule (Ex. 5 MW above and 5 MW below final schedule = 10 MW deviation)</t>
  </si>
  <si>
    <t>* ISO Market Allocations and Administrative Costs (GMC) are not included in this report.</t>
  </si>
  <si>
    <t>Net of meter data value per 5 minute interval by resource</t>
  </si>
  <si>
    <t>Settlement amount (credit or charge) for all energy revenue including DA, RT (instructed and uninstructed), BCR, Flex Ramp Allocation, and Exceptional Dispatch</t>
  </si>
  <si>
    <t>Acronyms</t>
  </si>
  <si>
    <t>DA</t>
  </si>
  <si>
    <t>Day Ahead</t>
  </si>
  <si>
    <t>Sum of Total Energy Settlement Amount (Net) and Capacity Totals by resource</t>
  </si>
  <si>
    <t>RT</t>
  </si>
  <si>
    <t>Real Time</t>
  </si>
  <si>
    <t>BCR</t>
  </si>
  <si>
    <t>Bid Cost Recovery</t>
  </si>
  <si>
    <t>Resource ID</t>
  </si>
  <si>
    <t>Resource Name</t>
  </si>
  <si>
    <t>Resource Type</t>
  </si>
  <si>
    <t>Priority</t>
  </si>
  <si>
    <t>A/S?</t>
  </si>
  <si>
    <t>Status</t>
  </si>
  <si>
    <t>[TOOL] SQL Code Editing</t>
  </si>
  <si>
    <t>N</t>
  </si>
  <si>
    <t>Active</t>
  </si>
  <si>
    <t>Total Settlements</t>
  </si>
  <si>
    <t>Settlement amount (credit or charge) for total Capacity of AS, Flexible Ramp, and RAAIM by resource</t>
  </si>
  <si>
    <t>J</t>
  </si>
  <si>
    <t>K</t>
  </si>
  <si>
    <t>L</t>
  </si>
  <si>
    <t>M</t>
  </si>
  <si>
    <t>O</t>
  </si>
  <si>
    <t>AS</t>
  </si>
  <si>
    <t>Ancillary Services</t>
  </si>
  <si>
    <t>Regulation Up</t>
  </si>
  <si>
    <t>Regulation Down</t>
  </si>
  <si>
    <t>RAAIM</t>
  </si>
  <si>
    <t>Total Energy and Capacity Settlement</t>
  </si>
  <si>
    <t>Total Capacity Settlement Amount</t>
  </si>
  <si>
    <t>Resource Adequacy Availability Incentive Mechanism</t>
  </si>
  <si>
    <t>Total Energy Settlement Amount</t>
  </si>
  <si>
    <t>Output MWh (Net)</t>
  </si>
  <si>
    <t>Credit for awarded spinning reserve capacity in the Day-Ahead Market and Real-Time Markets</t>
  </si>
  <si>
    <t>Credit for awarded non-spinning reserve capacity in the Day-Ahead Market and Real-Time Markets</t>
  </si>
  <si>
    <t>Credit for awarded regulation down reserve capacity in the Day-Ahead Market and Real-Time Markets</t>
  </si>
  <si>
    <t>Credit for awarded regulation up reserve capacity in the Day-Ahead Market and Real-Time Markets</t>
  </si>
  <si>
    <t>CC6100_6170</t>
  </si>
  <si>
    <t>CC6200_6270</t>
  </si>
  <si>
    <t>CC6500_6570</t>
  </si>
  <si>
    <t>CC6600_6670</t>
  </si>
  <si>
    <t>Sum of CC6100_6170</t>
  </si>
  <si>
    <t>Sum of CC6200_6270</t>
  </si>
  <si>
    <t>Sum of CC6500_6570</t>
  </si>
  <si>
    <t>Sum of CC6600_6670</t>
  </si>
  <si>
    <t>CC7070</t>
  </si>
  <si>
    <t>CC7071</t>
  </si>
  <si>
    <t>CC7081</t>
  </si>
  <si>
    <t>Sum of CC7070</t>
  </si>
  <si>
    <t>Sum of CC7071</t>
  </si>
  <si>
    <t>Sum of CC7081</t>
  </si>
  <si>
    <t>BOGUE_1_UNITA1</t>
  </si>
  <si>
    <t>GRNLF1_1_UNITS</t>
  </si>
  <si>
    <t>GILRPP_1_PL3X4</t>
  </si>
  <si>
    <t>KNGCTY_6_UNITA1</t>
  </si>
  <si>
    <t>LMBEPK_2_UNITA1</t>
  </si>
  <si>
    <t>LMBEPK_2_UNITA2</t>
  </si>
  <si>
    <t>LMBEPK_2_UNITA3</t>
  </si>
  <si>
    <t>RVRVEW_1_UNITA1</t>
  </si>
  <si>
    <t>WOLFSK_1_UNITA1</t>
  </si>
  <si>
    <t>YUBACT_6_UNITA1</t>
  </si>
  <si>
    <t>HENRTA_6_UNITA1</t>
  </si>
  <si>
    <t>HENRTA_6_UNITA2</t>
  </si>
  <si>
    <t>CALPIN_1_AGNEW</t>
  </si>
  <si>
    <t>COCOPP_2_CTG1</t>
  </si>
  <si>
    <t>COCOPP_2_CTG2</t>
  </si>
  <si>
    <t>COCOPP_2_CTG3</t>
  </si>
  <si>
    <t>COCOPP_2_CTG4</t>
  </si>
  <si>
    <t>OROVIL_6_UNIT</t>
  </si>
  <si>
    <t>OMAR_2_UNIT 1</t>
  </si>
  <si>
    <t>OMAR_2_UNIT 2</t>
  </si>
  <si>
    <t>OMAR_2_UNIT 3</t>
  </si>
  <si>
    <t>OMAR_2_UNIT 4</t>
  </si>
  <si>
    <t>BDGRCK_1_UNITS</t>
  </si>
  <si>
    <t>BEARMT_1_UNIT</t>
  </si>
  <si>
    <t>CHALK_1_UNIT</t>
  </si>
  <si>
    <t>LIVOAK_1_UNIT 1</t>
  </si>
  <si>
    <t>MKTRCK_1_UNIT 1</t>
  </si>
  <si>
    <t>SMPRIP_1_SMPSON</t>
  </si>
  <si>
    <t>GILRPP_1_PL1X2</t>
  </si>
  <si>
    <t>GWFPWR_1_UNITS</t>
  </si>
  <si>
    <t>KELSO_2_UNITS</t>
  </si>
  <si>
    <t>LECEF_1_UNITS</t>
  </si>
  <si>
    <t>PNCHEG_2_PL1X4</t>
  </si>
  <si>
    <t>PNCHPP_1_PL1X2</t>
  </si>
  <si>
    <t>RUSCTY_2_UNITS</t>
  </si>
  <si>
    <t>SCHLTE_1_PL1X3</t>
  </si>
  <si>
    <t>SUNSET_2_UNITS</t>
  </si>
  <si>
    <t>DOUBLC_1_UNITS</t>
  </si>
  <si>
    <t>KERNFT_1_UNITS</t>
  </si>
  <si>
    <t>SIERRA_1_UNITS</t>
  </si>
  <si>
    <t>Feather River</t>
  </si>
  <si>
    <t>Greenleaf</t>
  </si>
  <si>
    <t>Gilroy Energy U3</t>
  </si>
  <si>
    <t>King City U1</t>
  </si>
  <si>
    <t>Lambie U1</t>
  </si>
  <si>
    <t>Creed U1</t>
  </si>
  <si>
    <t>Goose Haven U1</t>
  </si>
  <si>
    <t>Riverview</t>
  </si>
  <si>
    <t>Wolfskill</t>
  </si>
  <si>
    <t>Yuba City</t>
  </si>
  <si>
    <t>Henrietta Peaker U1</t>
  </si>
  <si>
    <t>Henrietta Peaker U2</t>
  </si>
  <si>
    <t>Agnews</t>
  </si>
  <si>
    <t>Marsh Landing U1</t>
  </si>
  <si>
    <t>Marsh Landing U2</t>
  </si>
  <si>
    <t>Marsh Landing U3</t>
  </si>
  <si>
    <t>Marsh Landing U4</t>
  </si>
  <si>
    <t>Oroville</t>
  </si>
  <si>
    <t>Kern River U1</t>
  </si>
  <si>
    <t>Kern River U2</t>
  </si>
  <si>
    <t>Kern River U3</t>
  </si>
  <si>
    <t>Kern River U4</t>
  </si>
  <si>
    <t>Badger Creek</t>
  </si>
  <si>
    <t>Bear Mountain</t>
  </si>
  <si>
    <t>Chalk Cliff</t>
  </si>
  <si>
    <t>Live Oak</t>
  </si>
  <si>
    <t>McKittrick</t>
  </si>
  <si>
    <t>Ripon</t>
  </si>
  <si>
    <t>Gilroy U1 and U2</t>
  </si>
  <si>
    <t>Hanford</t>
  </si>
  <si>
    <t>Mariposa</t>
  </si>
  <si>
    <t>Los Esteros</t>
  </si>
  <si>
    <t>Panoche</t>
  </si>
  <si>
    <t>Midway Peaking</t>
  </si>
  <si>
    <t>Russell City</t>
  </si>
  <si>
    <t>Tracy</t>
  </si>
  <si>
    <t>Midway Sunset</t>
  </si>
  <si>
    <t>Double C</t>
  </si>
  <si>
    <t>Kern Front</t>
  </si>
  <si>
    <t>High Sierra</t>
  </si>
  <si>
    <t>GTUR</t>
  </si>
  <si>
    <t>RECP</t>
  </si>
  <si>
    <t>CCYC</t>
  </si>
  <si>
    <t>FMM</t>
  </si>
  <si>
    <t>Fifteen Minute Market</t>
  </si>
  <si>
    <t>Gas Turbine</t>
  </si>
  <si>
    <t>Reciprocating Engine</t>
  </si>
  <si>
    <t>Combined Cycle</t>
  </si>
  <si>
    <t>Forecasted Movement</t>
  </si>
  <si>
    <t>AS No Pay (Net)</t>
  </si>
  <si>
    <t>Spinning</t>
  </si>
  <si>
    <t>Non-Spinning</t>
  </si>
  <si>
    <t>NET_NO_PAY</t>
  </si>
  <si>
    <t>Sum of NET_NO_PAY</t>
  </si>
  <si>
    <t>Net No Pay for all AS products rescinding Day-Ahead and Real-Time capacity awards payments when the resource does not fulfill the requirements associated with the payment.</t>
  </si>
  <si>
    <t>Credit (or charge) to a resource for procured ramping capability needed by CAISO.</t>
  </si>
  <si>
    <t>Charge (or credit) to a resource for procured ramping capability needed by CAISO.</t>
  </si>
  <si>
    <t>RAAIM Monthly Settlement</t>
  </si>
  <si>
    <t>Credit or charge to a resource for adjustments to dispatch operating point to meet forecasted net load.</t>
  </si>
  <si>
    <t>CC7078</t>
  </si>
  <si>
    <t>CC7088</t>
  </si>
  <si>
    <t>Sum of CC7078</t>
  </si>
  <si>
    <t>Forecasted Movement Settlement</t>
  </si>
  <si>
    <t xml:space="preserve">Flexible Ramp Up </t>
  </si>
  <si>
    <t xml:space="preserve">Flex Ramp Down </t>
  </si>
  <si>
    <t>Uncertainty Settlement</t>
  </si>
  <si>
    <t>Monthly Allocation</t>
  </si>
  <si>
    <t>P</t>
  </si>
  <si>
    <t>RAAIM (Monthly)</t>
  </si>
  <si>
    <t>FRU Uncertainty</t>
  </si>
  <si>
    <t>FRD Uncertainty</t>
  </si>
  <si>
    <t>Settlement</t>
  </si>
  <si>
    <t>Allocation</t>
  </si>
  <si>
    <t>Allocated costs of upward ramping capability procured to meet uncertainty requirement. Based on resource's contribution to uncertainty.</t>
  </si>
  <si>
    <t>Allocated costs of downward ramping capability procured to meet uncertainty requirement. Based on resource's contribution to uncertainty.</t>
  </si>
  <si>
    <t>Credit to RA resource that exceeds the upper tolerance band for the monthly Availability Standard or charge if below target. Credit is only available if payments were collected from RA resources that failed to meet the Availability Standard.</t>
  </si>
  <si>
    <t>QF</t>
  </si>
  <si>
    <t>BASICE_2_UNITS</t>
  </si>
  <si>
    <t>CROKET_7_UNIT</t>
  </si>
  <si>
    <t>GRNLF2_1_UNIT</t>
  </si>
  <si>
    <t>DISCOV_1_CHEVRN</t>
  </si>
  <si>
    <t>Calpine American</t>
  </si>
  <si>
    <t>Chevron</t>
  </si>
  <si>
    <t>Crockett</t>
  </si>
  <si>
    <t>Greenleaf II</t>
  </si>
  <si>
    <t>Qualifying Facility</t>
  </si>
  <si>
    <t>AS No Pay / Award (%)</t>
  </si>
  <si>
    <t>Q</t>
  </si>
  <si>
    <t>Positive $ value = Credit</t>
  </si>
  <si>
    <t>Net No Pay for all AS products divided by the total awarded amount of AS. Column J divided by Columns E-H.</t>
  </si>
  <si>
    <t>Uninstructed MWh / Output MWh (%)</t>
  </si>
  <si>
    <t>R</t>
  </si>
  <si>
    <t>Sum of UIE By Total Output</t>
  </si>
  <si>
    <t>Sum of No Pay Percentage ABS</t>
  </si>
  <si>
    <t>D+R</t>
  </si>
  <si>
    <t>Uninstructed MWh / Output MWh</t>
  </si>
  <si>
    <t>AS Spin Award</t>
  </si>
  <si>
    <t>AS Non-Spin Award</t>
  </si>
  <si>
    <t>AS Regulation Up Award</t>
  </si>
  <si>
    <t>AS Regulation Down Award</t>
  </si>
  <si>
    <t>RTM</t>
  </si>
  <si>
    <t>S</t>
  </si>
  <si>
    <t>T</t>
  </si>
  <si>
    <t>(G+T)</t>
  </si>
  <si>
    <t>DA MWh
(Net)</t>
  </si>
  <si>
    <t>RTM MWh
(Net)</t>
  </si>
  <si>
    <t>Fifteen Minute Market + Real Time</t>
  </si>
  <si>
    <t>TOTAL_DA_MWH</t>
  </si>
  <si>
    <t>TOTAL_RTM_MWH</t>
  </si>
  <si>
    <t>Sum of TOTAL_DA_MWH</t>
  </si>
  <si>
    <t>Sum of TOTAL_RTM_MWH</t>
  </si>
  <si>
    <t>DA MWh (Net)</t>
  </si>
  <si>
    <t>RTM MWh (Net)</t>
  </si>
  <si>
    <t>Net MWh awarded in the Day Ahead Market</t>
  </si>
  <si>
    <t>Net MWH awarded in the FMM and RT Markets</t>
  </si>
  <si>
    <t xml:space="preserve">Settlement amount (credit or charge) for deviating from final schedule </t>
  </si>
  <si>
    <t>Sum of CC7088</t>
  </si>
  <si>
    <t>Sum of RAAIM</t>
  </si>
  <si>
    <t>Contracted Units Generation Settlements Report: July-2017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</si>
</sst>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43" formatCode="_(* #,##0.00_);_(* \(#,##0.00\);_(* &quot;-&quot;??_);_(@_)"/>
    <numFmt numFmtId="164" formatCode="0_);[Red]\(0\)"/>
  </numFmts>
  <fonts count="11" x14ac:knownFonts="1">
    <font>
      <sz val="11"/>
      <color theme="1"/>
      <name val="Calibri"/>
      <family val="2"/>
      <scheme val="minor"/>
    </font>
    <font>
      <b/>
      <sz val="11"/>
      <color theme="1"/>
      <name val="Calibri"/>
      <family val="2"/>
      <scheme val="minor"/>
    </font>
    <font>
      <b/>
      <sz val="12"/>
      <color rgb="FF000000"/>
      <name val="Calibri"/>
      <family val="2"/>
    </font>
    <font>
      <b/>
      <sz val="22"/>
      <color theme="1"/>
      <name val="Calibri"/>
      <family val="2"/>
      <scheme val="minor"/>
    </font>
    <font>
      <b/>
      <sz val="11"/>
      <color rgb="FFFF0000"/>
      <name val="Calibri"/>
      <family val="2"/>
      <scheme val="minor"/>
    </font>
    <font>
      <sz val="12"/>
      <color rgb="FF000000"/>
      <name val="Calibri"/>
      <family val="2"/>
    </font>
    <font>
      <sz val="12"/>
      <color rgb="FF000000"/>
      <name val="Arial"/>
      <family val="2"/>
    </font>
    <font>
      <sz val="11"/>
      <color theme="1"/>
      <name val="Calibri"/>
      <family val="2"/>
      <scheme val="minor"/>
    </font>
    <font>
      <b/>
      <sz val="11"/>
      <name val="Calibri"/>
      <family val="2"/>
      <scheme val="minor"/>
    </font>
    <font>
      <sz val="11"/>
      <name val="Calibri"/>
      <family val="2"/>
      <scheme val="minor"/>
    </font>
    <font>
      <sz val="12"/>
      <color rgb="FF000000"/>
      <name val="Calibri"/>
      <family val="2"/>
      <scheme val="minor"/>
    </font>
  </fonts>
  <fills count="18">
    <fill>
      <patternFill patternType="none"/>
    </fill>
    <fill>
      <patternFill patternType="gray125"/>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39997558519241921"/>
        <bgColor indexed="64"/>
      </patternFill>
    </fill>
  </fills>
  <borders count="5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theme="0" tint="-0.499984740745262"/>
      </top>
      <bottom style="thin">
        <color theme="0" tint="-0.499984740745262"/>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theme="0" tint="-0.499984740745262"/>
      </bottom>
      <diagonal/>
    </border>
    <border>
      <left style="medium">
        <color indexed="64"/>
      </left>
      <right style="thin">
        <color indexed="64"/>
      </right>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3">
    <xf numFmtId="0" fontId="0" fillId="0" borderId="0"/>
    <xf numFmtId="43" fontId="7" fillId="0" borderId="0" applyFont="0" applyFill="0" applyBorder="0" applyAlignment="0" applyProtection="0"/>
    <xf numFmtId="9" fontId="7" fillId="0" borderId="0" applyFont="0" applyFill="0" applyBorder="0" applyAlignment="0" applyProtection="0"/>
  </cellStyleXfs>
  <cellXfs count="206">
    <xf numFmtId="0" fontId="0" fillId="0" borderId="0" xfId="0"/>
    <xf numFmtId="0" fontId="1"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6" fontId="0" fillId="0" borderId="0" xfId="0" applyNumberFormat="1"/>
    <xf numFmtId="0" fontId="0" fillId="0" borderId="0" xfId="0"/>
    <xf numFmtId="38" fontId="0" fillId="0" borderId="0" xfId="0" applyNumberFormat="1"/>
    <xf numFmtId="0" fontId="0" fillId="0" borderId="0" xfId="0" applyFont="1"/>
    <xf numFmtId="0" fontId="0" fillId="0" borderId="0" xfId="0" applyFill="1"/>
    <xf numFmtId="0" fontId="0" fillId="0" borderId="7" xfId="0" applyFont="1" applyFill="1" applyBorder="1" applyAlignment="1">
      <alignment horizontal="center" vertical="center" wrapText="1"/>
    </xf>
    <xf numFmtId="0" fontId="0" fillId="0" borderId="0" xfId="0" applyFont="1" applyFill="1" applyAlignment="1">
      <alignment wrapText="1"/>
    </xf>
    <xf numFmtId="0" fontId="0" fillId="0" borderId="8" xfId="0" applyFont="1" applyFill="1" applyBorder="1" applyAlignment="1">
      <alignment horizontal="center" vertical="center"/>
    </xf>
    <xf numFmtId="0" fontId="0" fillId="0" borderId="0" xfId="0" applyFont="1" applyFill="1"/>
    <xf numFmtId="0" fontId="0" fillId="0" borderId="8" xfId="0" applyFill="1" applyBorder="1" applyAlignment="1">
      <alignment horizontal="center" vertical="center" wrapText="1"/>
    </xf>
    <xf numFmtId="0" fontId="0" fillId="0" borderId="0" xfId="0" applyFill="1" applyAlignment="1">
      <alignment horizontal="center" vertical="top" wrapText="1"/>
    </xf>
    <xf numFmtId="0" fontId="1" fillId="6" borderId="21" xfId="0" applyFont="1" applyFill="1" applyBorder="1" applyAlignment="1">
      <alignment horizontal="center" vertical="center"/>
    </xf>
    <xf numFmtId="0" fontId="1" fillId="0" borderId="0" xfId="0" applyFont="1" applyFill="1"/>
    <xf numFmtId="0" fontId="0" fillId="0" borderId="21" xfId="0" applyFont="1" applyFill="1" applyBorder="1" applyAlignment="1">
      <alignment horizontal="center" vertical="center"/>
    </xf>
    <xf numFmtId="6" fontId="0" fillId="0" borderId="14" xfId="0" applyNumberFormat="1" applyFont="1" applyFill="1" applyBorder="1" applyAlignment="1">
      <alignment horizontal="center" vertical="center"/>
    </xf>
    <xf numFmtId="38" fontId="0" fillId="0" borderId="14" xfId="0" applyNumberFormat="1" applyFont="1" applyFill="1" applyBorder="1" applyAlignment="1">
      <alignment horizontal="center" vertical="center"/>
    </xf>
    <xf numFmtId="6" fontId="1" fillId="6" borderId="14" xfId="0" applyNumberFormat="1" applyFont="1" applyFill="1" applyBorder="1" applyAlignment="1">
      <alignment horizontal="center" vertical="center"/>
    </xf>
    <xf numFmtId="6" fontId="0" fillId="0" borderId="27" xfId="0" applyNumberFormat="1" applyFont="1" applyFill="1" applyBorder="1" applyAlignment="1">
      <alignment horizontal="center" vertical="center"/>
    </xf>
    <xf numFmtId="38" fontId="0" fillId="0" borderId="27" xfId="0" applyNumberFormat="1" applyFont="1" applyFill="1" applyBorder="1" applyAlignment="1">
      <alignment horizontal="center" vertical="center"/>
    </xf>
    <xf numFmtId="6" fontId="1" fillId="6" borderId="30" xfId="0" applyNumberFormat="1" applyFont="1" applyFill="1" applyBorder="1" applyAlignment="1">
      <alignment horizontal="center" vertical="center"/>
    </xf>
    <xf numFmtId="6" fontId="1" fillId="6" borderId="5" xfId="0" applyNumberFormat="1" applyFont="1" applyFill="1" applyBorder="1" applyAlignment="1">
      <alignment horizontal="center" vertical="center"/>
    </xf>
    <xf numFmtId="0" fontId="0" fillId="0" borderId="0" xfId="0" applyAlignment="1">
      <alignment horizontal="center" vertical="center"/>
    </xf>
    <xf numFmtId="38" fontId="0" fillId="0" borderId="0" xfId="0" applyNumberFormat="1" applyAlignment="1">
      <alignment horizontal="center" vertical="center"/>
    </xf>
    <xf numFmtId="6" fontId="0" fillId="0" borderId="0" xfId="0" applyNumberFormat="1" applyAlignment="1">
      <alignment horizontal="center" vertical="center"/>
    </xf>
    <xf numFmtId="0" fontId="6" fillId="0" borderId="0" xfId="0" applyFont="1" applyBorder="1" applyAlignment="1">
      <alignment horizontal="left" wrapText="1" readingOrder="1"/>
    </xf>
    <xf numFmtId="6" fontId="6" fillId="0" borderId="0" xfId="0" applyNumberFormat="1" applyFont="1" applyBorder="1" applyAlignment="1">
      <alignment horizontal="center" vertical="center" wrapText="1"/>
    </xf>
    <xf numFmtId="6" fontId="5" fillId="0" borderId="0" xfId="0" applyNumberFormat="1" applyFont="1" applyBorder="1" applyAlignment="1">
      <alignment horizontal="center" vertical="center"/>
    </xf>
    <xf numFmtId="38" fontId="0" fillId="0" borderId="13" xfId="0" applyNumberFormat="1" applyFont="1" applyFill="1" applyBorder="1" applyAlignment="1">
      <alignment horizontal="center" vertical="center"/>
    </xf>
    <xf numFmtId="38" fontId="0" fillId="0" borderId="29" xfId="0" applyNumberFormat="1" applyFont="1" applyFill="1" applyBorder="1" applyAlignment="1">
      <alignment horizontal="center" vertical="center"/>
    </xf>
    <xf numFmtId="38" fontId="1" fillId="6" borderId="13" xfId="0" applyNumberFormat="1" applyFont="1" applyFill="1" applyBorder="1" applyAlignment="1">
      <alignment horizontal="center" vertical="center"/>
    </xf>
    <xf numFmtId="0" fontId="0" fillId="7" borderId="14" xfId="0" applyFill="1" applyBorder="1" applyAlignment="1">
      <alignment horizontal="center"/>
    </xf>
    <xf numFmtId="0" fontId="0" fillId="8" borderId="14" xfId="0" applyFill="1" applyBorder="1" applyAlignment="1">
      <alignment horizontal="center"/>
    </xf>
    <xf numFmtId="0" fontId="0" fillId="0" borderId="0" xfId="0" applyAlignment="1">
      <alignment horizontal="center"/>
    </xf>
    <xf numFmtId="40" fontId="0" fillId="0" borderId="0" xfId="0" applyNumberFormat="1" applyAlignment="1">
      <alignment horizontal="center"/>
    </xf>
    <xf numFmtId="38" fontId="0" fillId="0" borderId="0" xfId="0" applyNumberFormat="1" applyAlignment="1">
      <alignment horizontal="center"/>
    </xf>
    <xf numFmtId="0" fontId="0" fillId="0" borderId="0" xfId="0" quotePrefix="1" applyAlignment="1">
      <alignment horizontal="center"/>
    </xf>
    <xf numFmtId="0" fontId="0" fillId="9" borderId="0" xfId="0" quotePrefix="1" applyFill="1" applyAlignment="1">
      <alignment horizontal="center"/>
    </xf>
    <xf numFmtId="0" fontId="0" fillId="9" borderId="0" xfId="0" applyFill="1" applyAlignment="1">
      <alignment horizontal="center"/>
    </xf>
    <xf numFmtId="40" fontId="0" fillId="9" borderId="0" xfId="0" applyNumberFormat="1" applyFill="1" applyAlignment="1">
      <alignment horizontal="center"/>
    </xf>
    <xf numFmtId="38" fontId="0" fillId="9" borderId="0" xfId="0" applyNumberFormat="1" applyFill="1" applyAlignment="1">
      <alignment horizontal="center"/>
    </xf>
    <xf numFmtId="38" fontId="2" fillId="12" borderId="33" xfId="0" applyNumberFormat="1" applyFont="1" applyFill="1" applyBorder="1" applyAlignment="1">
      <alignment horizontal="center" vertical="center" wrapText="1"/>
    </xf>
    <xf numFmtId="0" fontId="5" fillId="13" borderId="19" xfId="0" applyFont="1" applyFill="1" applyBorder="1" applyAlignment="1">
      <alignment horizontal="left" vertical="center" wrapText="1" readingOrder="1"/>
    </xf>
    <xf numFmtId="0" fontId="5" fillId="13" borderId="20" xfId="0" applyFont="1" applyFill="1" applyBorder="1" applyAlignment="1">
      <alignment horizontal="left" vertical="center" wrapText="1" readingOrder="1"/>
    </xf>
    <xf numFmtId="0" fontId="5" fillId="13" borderId="23" xfId="0" applyFont="1" applyFill="1" applyBorder="1" applyAlignment="1">
      <alignment horizontal="left" vertical="center" wrapText="1" readingOrder="1"/>
    </xf>
    <xf numFmtId="6" fontId="1" fillId="6" borderId="6" xfId="0" applyNumberFormat="1" applyFont="1" applyFill="1" applyBorder="1" applyAlignment="1">
      <alignment horizontal="center" vertical="center" wrapText="1"/>
    </xf>
    <xf numFmtId="0" fontId="0" fillId="0" borderId="6" xfId="0" applyFont="1" applyFill="1" applyBorder="1" applyAlignment="1">
      <alignment vertical="center" wrapText="1"/>
    </xf>
    <xf numFmtId="6" fontId="1" fillId="6" borderId="40" xfId="0" applyNumberFormat="1" applyFont="1" applyFill="1" applyBorder="1" applyAlignment="1">
      <alignment horizontal="center" vertical="center" wrapText="1"/>
    </xf>
    <xf numFmtId="38" fontId="1" fillId="6" borderId="40" xfId="0" applyNumberFormat="1" applyFont="1" applyFill="1" applyBorder="1" applyAlignment="1">
      <alignment horizontal="center" vertical="center" wrapText="1"/>
    </xf>
    <xf numFmtId="6" fontId="1" fillId="6" borderId="31" xfId="0" applyNumberFormat="1" applyFont="1" applyFill="1" applyBorder="1" applyAlignment="1">
      <alignment horizontal="center" vertical="center" wrapText="1"/>
    </xf>
    <xf numFmtId="0" fontId="0" fillId="0" borderId="51" xfId="0" applyFill="1" applyBorder="1" applyAlignment="1">
      <alignment horizontal="center" vertical="center" wrapText="1"/>
    </xf>
    <xf numFmtId="0" fontId="0" fillId="0" borderId="26" xfId="0" applyBorder="1"/>
    <xf numFmtId="0" fontId="0" fillId="0" borderId="52" xfId="0" applyBorder="1"/>
    <xf numFmtId="0" fontId="0" fillId="0" borderId="20" xfId="0" applyBorder="1"/>
    <xf numFmtId="6" fontId="0" fillId="5" borderId="17" xfId="0" applyNumberFormat="1" applyFont="1" applyFill="1" applyBorder="1" applyAlignment="1">
      <alignment horizontal="center" vertical="center"/>
    </xf>
    <xf numFmtId="6" fontId="1" fillId="11" borderId="17" xfId="0" applyNumberFormat="1" applyFont="1" applyFill="1" applyBorder="1" applyAlignment="1">
      <alignment horizontal="center" vertical="center"/>
    </xf>
    <xf numFmtId="6" fontId="0" fillId="0" borderId="37" xfId="0" applyNumberFormat="1" applyFill="1" applyBorder="1"/>
    <xf numFmtId="6" fontId="0" fillId="0" borderId="37" xfId="0" applyNumberFormat="1" applyBorder="1"/>
    <xf numFmtId="38" fontId="1" fillId="6" borderId="14" xfId="0" applyNumberFormat="1" applyFont="1" applyFill="1" applyBorder="1" applyAlignment="1">
      <alignment horizontal="center" vertical="center"/>
    </xf>
    <xf numFmtId="6" fontId="0" fillId="10" borderId="44" xfId="0" applyNumberFormat="1" applyFont="1" applyFill="1" applyBorder="1" applyAlignment="1">
      <alignment horizontal="center" vertical="center"/>
    </xf>
    <xf numFmtId="6" fontId="1" fillId="4" borderId="3" xfId="0" applyNumberFormat="1" applyFont="1" applyFill="1" applyBorder="1" applyAlignment="1">
      <alignment horizontal="center" vertical="center"/>
    </xf>
    <xf numFmtId="6" fontId="0" fillId="10" borderId="42" xfId="0" applyNumberFormat="1" applyFont="1" applyFill="1" applyBorder="1" applyAlignment="1">
      <alignment horizontal="center" vertical="center"/>
    </xf>
    <xf numFmtId="6" fontId="1" fillId="4" borderId="43" xfId="0" applyNumberFormat="1" applyFont="1" applyFill="1" applyBorder="1" applyAlignment="1">
      <alignment horizontal="center" vertical="center"/>
    </xf>
    <xf numFmtId="6" fontId="1" fillId="3" borderId="15" xfId="0" applyNumberFormat="1" applyFont="1" applyFill="1" applyBorder="1" applyAlignment="1">
      <alignment horizontal="center" vertical="center"/>
    </xf>
    <xf numFmtId="6" fontId="1" fillId="3" borderId="31" xfId="0" applyNumberFormat="1" applyFont="1" applyFill="1" applyBorder="1" applyAlignment="1">
      <alignment horizontal="center" vertical="center"/>
    </xf>
    <xf numFmtId="6" fontId="0" fillId="15" borderId="15" xfId="0" applyNumberFormat="1" applyFont="1" applyFill="1" applyBorder="1" applyAlignment="1">
      <alignment horizontal="center" vertical="center"/>
    </xf>
    <xf numFmtId="6" fontId="0" fillId="15" borderId="28" xfId="0" applyNumberFormat="1" applyFont="1" applyFill="1" applyBorder="1" applyAlignment="1">
      <alignment horizontal="center" vertical="center"/>
    </xf>
    <xf numFmtId="38" fontId="0" fillId="0" borderId="0" xfId="1" applyNumberFormat="1" applyFont="1"/>
    <xf numFmtId="38" fontId="5" fillId="13" borderId="0" xfId="0" applyNumberFormat="1" applyFont="1" applyFill="1" applyBorder="1" applyAlignment="1">
      <alignment horizontal="center" vertical="center" wrapText="1"/>
    </xf>
    <xf numFmtId="6" fontId="5" fillId="0" borderId="0" xfId="0" applyNumberFormat="1" applyFont="1" applyFill="1" applyBorder="1" applyAlignment="1">
      <alignment horizontal="center" vertical="center" wrapText="1" readingOrder="1"/>
    </xf>
    <xf numFmtId="38" fontId="1" fillId="6" borderId="12" xfId="0" applyNumberFormat="1" applyFont="1" applyFill="1" applyBorder="1" applyAlignment="1">
      <alignment horizontal="center" vertical="center" wrapText="1"/>
    </xf>
    <xf numFmtId="38" fontId="5" fillId="13" borderId="39" xfId="0" applyNumberFormat="1" applyFont="1" applyFill="1" applyBorder="1" applyAlignment="1">
      <alignment horizontal="center" vertical="center" wrapText="1"/>
    </xf>
    <xf numFmtId="38" fontId="5" fillId="13" borderId="36" xfId="0" applyNumberFormat="1" applyFont="1" applyFill="1" applyBorder="1" applyAlignment="1">
      <alignment horizontal="center" vertical="center" wrapText="1"/>
    </xf>
    <xf numFmtId="6" fontId="5" fillId="0" borderId="4" xfId="0" applyNumberFormat="1" applyFont="1" applyFill="1" applyBorder="1" applyAlignment="1">
      <alignment horizontal="center" vertical="center" wrapText="1" readingOrder="1"/>
    </xf>
    <xf numFmtId="38" fontId="5" fillId="13" borderId="18" xfId="0" applyNumberFormat="1" applyFont="1" applyFill="1" applyBorder="1" applyAlignment="1">
      <alignment horizontal="center" vertical="center" wrapText="1"/>
    </xf>
    <xf numFmtId="38" fontId="5" fillId="13" borderId="38" xfId="0" applyNumberFormat="1" applyFont="1" applyFill="1" applyBorder="1" applyAlignment="1">
      <alignment horizontal="center" vertical="center" wrapText="1"/>
    </xf>
    <xf numFmtId="38" fontId="5" fillId="13" borderId="20" xfId="0" applyNumberFormat="1" applyFont="1" applyFill="1" applyBorder="1" applyAlignment="1">
      <alignment horizontal="center" vertical="center" wrapText="1"/>
    </xf>
    <xf numFmtId="0" fontId="0" fillId="0" borderId="37" xfId="0" applyFill="1" applyBorder="1"/>
    <xf numFmtId="0" fontId="0" fillId="0" borderId="37" xfId="0" applyBorder="1"/>
    <xf numFmtId="6" fontId="5" fillId="0" borderId="54" xfId="0" applyNumberFormat="1" applyFont="1" applyFill="1" applyBorder="1" applyAlignment="1">
      <alignment horizontal="center" vertical="center" wrapText="1" readingOrder="1"/>
    </xf>
    <xf numFmtId="6" fontId="5" fillId="0" borderId="44" xfId="0" applyNumberFormat="1" applyFont="1" applyFill="1" applyBorder="1" applyAlignment="1">
      <alignment horizontal="center" vertical="center" wrapText="1" readingOrder="1"/>
    </xf>
    <xf numFmtId="38" fontId="1" fillId="11" borderId="14" xfId="0" applyNumberFormat="1" applyFont="1" applyFill="1" applyBorder="1" applyAlignment="1">
      <alignment horizontal="center" vertical="center" wrapText="1"/>
    </xf>
    <xf numFmtId="38" fontId="1" fillId="17" borderId="10" xfId="0" applyNumberFormat="1" applyFont="1" applyFill="1" applyBorder="1" applyAlignment="1">
      <alignment horizontal="center" vertical="center" wrapText="1"/>
    </xf>
    <xf numFmtId="38" fontId="1" fillId="17" borderId="22" xfId="0" applyNumberFormat="1" applyFont="1" applyFill="1" applyBorder="1" applyAlignment="1">
      <alignment horizontal="center" vertical="center" wrapText="1"/>
    </xf>
    <xf numFmtId="0" fontId="10" fillId="0" borderId="0" xfId="0" applyFont="1"/>
    <xf numFmtId="38" fontId="0" fillId="11" borderId="13" xfId="0" applyNumberFormat="1" applyFont="1" applyFill="1" applyBorder="1" applyAlignment="1">
      <alignment horizontal="center" vertical="center" wrapText="1"/>
    </xf>
    <xf numFmtId="38" fontId="0" fillId="17" borderId="10" xfId="0" applyNumberFormat="1" applyFont="1" applyFill="1" applyBorder="1" applyAlignment="1">
      <alignment horizontal="center" vertical="center" wrapText="1"/>
    </xf>
    <xf numFmtId="6" fontId="5" fillId="0" borderId="54" xfId="0" applyNumberFormat="1" applyFont="1" applyFill="1" applyBorder="1" applyAlignment="1">
      <alignment horizontal="center" vertical="center" wrapText="1" readingOrder="1"/>
    </xf>
    <xf numFmtId="9" fontId="0" fillId="0" borderId="0" xfId="0" applyNumberFormat="1"/>
    <xf numFmtId="6" fontId="1" fillId="11" borderId="1" xfId="0" applyNumberFormat="1" applyFont="1" applyFill="1" applyBorder="1" applyAlignment="1">
      <alignment vertical="center"/>
    </xf>
    <xf numFmtId="6" fontId="1" fillId="11" borderId="3" xfId="0" applyNumberFormat="1" applyFont="1" applyFill="1" applyBorder="1" applyAlignment="1">
      <alignment vertical="center"/>
    </xf>
    <xf numFmtId="9" fontId="1" fillId="6" borderId="14" xfId="0" applyNumberFormat="1" applyFont="1" applyFill="1" applyBorder="1" applyAlignment="1">
      <alignment horizontal="center" vertical="center"/>
    </xf>
    <xf numFmtId="9" fontId="0" fillId="0" borderId="14" xfId="0" applyNumberFormat="1" applyFont="1" applyFill="1" applyBorder="1" applyAlignment="1">
      <alignment horizontal="center" vertical="center"/>
    </xf>
    <xf numFmtId="9" fontId="0" fillId="0" borderId="27" xfId="0" applyNumberFormat="1" applyFont="1" applyFill="1" applyBorder="1" applyAlignment="1">
      <alignment horizontal="center" vertical="center"/>
    </xf>
    <xf numFmtId="9" fontId="1" fillId="6" borderId="30" xfId="0" applyNumberFormat="1" applyFont="1" applyFill="1" applyBorder="1" applyAlignment="1">
      <alignment horizontal="center" vertical="center"/>
    </xf>
    <xf numFmtId="9" fontId="1" fillId="6" borderId="16" xfId="2" applyFont="1" applyFill="1" applyBorder="1" applyAlignment="1">
      <alignment horizontal="center" vertical="center"/>
    </xf>
    <xf numFmtId="9" fontId="0" fillId="0" borderId="16" xfId="2" applyFont="1" applyFill="1" applyBorder="1" applyAlignment="1">
      <alignment horizontal="center" vertical="center"/>
    </xf>
    <xf numFmtId="9" fontId="0" fillId="0" borderId="56" xfId="2" applyFont="1" applyFill="1" applyBorder="1" applyAlignment="1">
      <alignment horizontal="center" vertical="center"/>
    </xf>
    <xf numFmtId="9" fontId="1" fillId="6" borderId="2" xfId="2" applyFont="1" applyFill="1" applyBorder="1" applyAlignment="1">
      <alignment horizontal="center" vertical="center"/>
    </xf>
    <xf numFmtId="1" fontId="0" fillId="0" borderId="15" xfId="0" applyNumberFormat="1" applyFont="1" applyFill="1" applyBorder="1" applyAlignment="1">
      <alignment horizontal="center" vertical="center"/>
    </xf>
    <xf numFmtId="0" fontId="5" fillId="13" borderId="0" xfId="0" quotePrefix="1" applyFont="1" applyFill="1" applyBorder="1" applyAlignment="1">
      <alignment horizontal="center" vertical="center" wrapText="1" readingOrder="1"/>
    </xf>
    <xf numFmtId="0" fontId="0" fillId="0" borderId="2" xfId="0" applyBorder="1" applyAlignment="1">
      <alignment horizontal="center" vertical="center"/>
    </xf>
    <xf numFmtId="38" fontId="1" fillId="6" borderId="47" xfId="0" applyNumberFormat="1" applyFont="1" applyFill="1" applyBorder="1" applyAlignment="1">
      <alignment horizontal="center" vertical="center" wrapText="1"/>
    </xf>
    <xf numFmtId="6" fontId="1" fillId="6" borderId="0" xfId="0" applyNumberFormat="1" applyFont="1" applyFill="1" applyBorder="1" applyAlignment="1">
      <alignment horizontal="center" vertical="center" wrapText="1"/>
    </xf>
    <xf numFmtId="6" fontId="1" fillId="6" borderId="32" xfId="0" applyNumberFormat="1" applyFont="1" applyFill="1" applyBorder="1" applyAlignment="1">
      <alignment horizontal="center" vertical="center" wrapText="1"/>
    </xf>
    <xf numFmtId="38" fontId="1" fillId="6" borderId="49" xfId="0" applyNumberFormat="1" applyFont="1" applyFill="1" applyBorder="1" applyAlignment="1">
      <alignment horizontal="center" vertical="center" wrapText="1"/>
    </xf>
    <xf numFmtId="38" fontId="1" fillId="6" borderId="2" xfId="0" applyNumberFormat="1" applyFont="1" applyFill="1" applyBorder="1" applyAlignment="1">
      <alignment horizontal="center" vertical="center"/>
    </xf>
    <xf numFmtId="6" fontId="1" fillId="6" borderId="57" xfId="0" applyNumberFormat="1" applyFont="1" applyFill="1" applyBorder="1" applyAlignment="1">
      <alignment horizontal="center" vertical="center"/>
    </xf>
    <xf numFmtId="38" fontId="1" fillId="6" borderId="30" xfId="0" applyNumberFormat="1" applyFont="1" applyFill="1" applyBorder="1" applyAlignment="1">
      <alignment horizontal="center" vertical="center"/>
    </xf>
    <xf numFmtId="0" fontId="0" fillId="0" borderId="0" xfId="0" applyNumberFormat="1"/>
    <xf numFmtId="6" fontId="5" fillId="0" borderId="16" xfId="0" applyNumberFormat="1" applyFont="1" applyFill="1" applyBorder="1" applyAlignment="1">
      <alignment horizontal="center" vertical="center" wrapText="1" readingOrder="1"/>
    </xf>
    <xf numFmtId="6" fontId="5" fillId="0" borderId="54" xfId="0" applyNumberFormat="1" applyFont="1" applyFill="1" applyBorder="1" applyAlignment="1">
      <alignment horizontal="center" vertical="center" wrapText="1" readingOrder="1"/>
    </xf>
    <xf numFmtId="6" fontId="5" fillId="0" borderId="44" xfId="0" applyNumberFormat="1" applyFont="1" applyFill="1" applyBorder="1" applyAlignment="1">
      <alignment horizontal="center" vertical="center" wrapText="1" readingOrder="1"/>
    </xf>
    <xf numFmtId="6" fontId="5" fillId="0" borderId="25" xfId="0" applyNumberFormat="1" applyFont="1" applyFill="1" applyBorder="1" applyAlignment="1">
      <alignment horizontal="center" vertical="center" wrapText="1" readingOrder="1"/>
    </xf>
    <xf numFmtId="6" fontId="5" fillId="0" borderId="55" xfId="0" applyNumberFormat="1" applyFont="1" applyFill="1" applyBorder="1" applyAlignment="1">
      <alignment horizontal="center" vertical="center" wrapText="1" readingOrder="1"/>
    </xf>
    <xf numFmtId="6" fontId="5" fillId="0" borderId="46" xfId="0" applyNumberFormat="1" applyFont="1" applyFill="1" applyBorder="1" applyAlignment="1">
      <alignment horizontal="center" vertical="center" wrapText="1" readingOrder="1"/>
    </xf>
    <xf numFmtId="38" fontId="0" fillId="16" borderId="16" xfId="0" applyNumberFormat="1" applyFont="1" applyFill="1" applyBorder="1" applyAlignment="1">
      <alignment horizontal="center" vertical="center" wrapText="1"/>
    </xf>
    <xf numFmtId="38" fontId="0" fillId="16" borderId="54" xfId="0" applyNumberFormat="1" applyFont="1" applyFill="1" applyBorder="1" applyAlignment="1">
      <alignment horizontal="center" vertical="center" wrapText="1"/>
    </xf>
    <xf numFmtId="38" fontId="0" fillId="16" borderId="13" xfId="0" applyNumberFormat="1" applyFont="1" applyFill="1" applyBorder="1" applyAlignment="1">
      <alignment horizontal="center" vertical="center" wrapText="1"/>
    </xf>
    <xf numFmtId="6" fontId="0" fillId="14" borderId="14" xfId="0" applyNumberFormat="1" applyFont="1" applyFill="1" applyBorder="1" applyAlignment="1">
      <alignment horizontal="center" vertical="center" wrapText="1"/>
    </xf>
    <xf numFmtId="6" fontId="0" fillId="14" borderId="27" xfId="0" applyNumberFormat="1" applyFont="1" applyFill="1" applyBorder="1" applyAlignment="1">
      <alignment horizontal="center" vertical="center" wrapText="1"/>
    </xf>
    <xf numFmtId="6" fontId="0" fillId="14" borderId="10" xfId="0" applyNumberFormat="1" applyFont="1" applyFill="1" applyBorder="1" applyAlignment="1">
      <alignment horizontal="center" vertical="center" wrapText="1"/>
    </xf>
    <xf numFmtId="6" fontId="0" fillId="11" borderId="24" xfId="0" applyNumberFormat="1" applyFont="1" applyFill="1" applyBorder="1" applyAlignment="1">
      <alignment horizontal="center" vertical="center" wrapText="1"/>
    </xf>
    <xf numFmtId="6" fontId="9" fillId="2" borderId="16" xfId="0" applyNumberFormat="1" applyFont="1" applyFill="1" applyBorder="1" applyAlignment="1">
      <alignment horizontal="center" vertical="center" wrapText="1"/>
    </xf>
    <xf numFmtId="6" fontId="9" fillId="2" borderId="54" xfId="0" applyNumberFormat="1" applyFont="1" applyFill="1" applyBorder="1" applyAlignment="1">
      <alignment horizontal="center" vertical="center" wrapText="1"/>
    </xf>
    <xf numFmtId="6" fontId="9" fillId="2" borderId="13" xfId="0" applyNumberFormat="1" applyFont="1" applyFill="1" applyBorder="1" applyAlignment="1">
      <alignment horizontal="center" vertical="center" wrapText="1"/>
    </xf>
    <xf numFmtId="6" fontId="0" fillId="4" borderId="27" xfId="0" applyNumberFormat="1" applyFont="1" applyFill="1" applyBorder="1" applyAlignment="1">
      <alignment horizontal="center" vertical="center" wrapText="1"/>
    </xf>
    <xf numFmtId="38" fontId="0" fillId="11" borderId="56" xfId="0" applyNumberFormat="1" applyFont="1" applyFill="1" applyBorder="1" applyAlignment="1">
      <alignment horizontal="center" vertical="center" wrapText="1"/>
    </xf>
    <xf numFmtId="38" fontId="0" fillId="11" borderId="29" xfId="0" applyNumberFormat="1" applyFont="1" applyFill="1" applyBorder="1" applyAlignment="1">
      <alignment horizontal="center" vertical="center" wrapText="1"/>
    </xf>
    <xf numFmtId="38" fontId="0" fillId="11" borderId="53" xfId="0" applyNumberFormat="1" applyFont="1" applyFill="1" applyBorder="1" applyAlignment="1">
      <alignment horizontal="center" vertical="center" wrapText="1"/>
    </xf>
    <xf numFmtId="38" fontId="0" fillId="11" borderId="9" xfId="0" applyNumberFormat="1" applyFont="1" applyFill="1" applyBorder="1" applyAlignment="1">
      <alignment horizontal="center" vertical="center" wrapText="1"/>
    </xf>
    <xf numFmtId="38" fontId="0" fillId="17" borderId="56" xfId="0" applyNumberFormat="1" applyFont="1" applyFill="1" applyBorder="1" applyAlignment="1">
      <alignment horizontal="center" vertical="center" wrapText="1"/>
    </xf>
    <xf numFmtId="38" fontId="0" fillId="17" borderId="29" xfId="0" applyNumberFormat="1" applyFont="1" applyFill="1" applyBorder="1" applyAlignment="1">
      <alignment horizontal="center" vertical="center" wrapText="1"/>
    </xf>
    <xf numFmtId="38" fontId="0" fillId="17" borderId="53" xfId="0" applyNumberFormat="1" applyFont="1" applyFill="1" applyBorder="1" applyAlignment="1">
      <alignment horizontal="center" vertical="center" wrapText="1"/>
    </xf>
    <xf numFmtId="38" fontId="0" fillId="17" borderId="9" xfId="0" applyNumberFormat="1" applyFont="1" applyFill="1" applyBorder="1" applyAlignment="1">
      <alignment horizontal="center" vertical="center"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4" fillId="0" borderId="38" xfId="0" applyFont="1" applyBorder="1" applyAlignment="1">
      <alignment horizontal="center"/>
    </xf>
    <xf numFmtId="0" fontId="4" fillId="0" borderId="41" xfId="0" applyFont="1" applyBorder="1" applyAlignment="1">
      <alignment horizontal="center"/>
    </xf>
    <xf numFmtId="6" fontId="1" fillId="3" borderId="50" xfId="0" applyNumberFormat="1" applyFont="1" applyFill="1" applyBorder="1" applyAlignment="1">
      <alignment horizontal="center" vertical="center" wrapText="1"/>
    </xf>
    <xf numFmtId="6" fontId="1" fillId="3" borderId="11" xfId="0" applyNumberFormat="1" applyFont="1" applyFill="1" applyBorder="1" applyAlignment="1">
      <alignment horizontal="center" vertical="center" wrapText="1"/>
    </xf>
    <xf numFmtId="6" fontId="1" fillId="14" borderId="47" xfId="0" applyNumberFormat="1" applyFont="1" applyFill="1" applyBorder="1" applyAlignment="1">
      <alignment horizontal="center" vertical="center" wrapText="1"/>
    </xf>
    <xf numFmtId="6" fontId="1" fillId="14" borderId="19" xfId="0" applyNumberFormat="1" applyFont="1" applyFill="1" applyBorder="1" applyAlignment="1">
      <alignment horizontal="center" vertical="center" wrapText="1"/>
    </xf>
    <xf numFmtId="38" fontId="1" fillId="16" borderId="29" xfId="0" applyNumberFormat="1" applyFont="1" applyFill="1" applyBorder="1" applyAlignment="1">
      <alignment horizontal="center" vertical="center" wrapText="1"/>
    </xf>
    <xf numFmtId="38" fontId="1" fillId="16" borderId="9" xfId="0" applyNumberFormat="1" applyFont="1" applyFill="1" applyBorder="1" applyAlignment="1">
      <alignment horizontal="center" vertical="center" wrapText="1"/>
    </xf>
    <xf numFmtId="6" fontId="1" fillId="4" borderId="43" xfId="0" applyNumberFormat="1" applyFont="1" applyFill="1" applyBorder="1" applyAlignment="1">
      <alignment horizontal="center" vertical="center" wrapText="1"/>
    </xf>
    <xf numFmtId="6" fontId="1" fillId="4" borderId="44" xfId="0" applyNumberFormat="1" applyFont="1" applyFill="1" applyBorder="1" applyAlignment="1">
      <alignment horizontal="center" vertical="center" wrapText="1"/>
    </xf>
    <xf numFmtId="6" fontId="1" fillId="11" borderId="17" xfId="0" applyNumberFormat="1" applyFont="1" applyFill="1" applyBorder="1" applyAlignment="1">
      <alignment horizontal="center" vertical="center" wrapText="1"/>
    </xf>
    <xf numFmtId="6" fontId="1" fillId="14" borderId="49" xfId="0" applyNumberFormat="1" applyFont="1" applyFill="1" applyBorder="1" applyAlignment="1">
      <alignment horizontal="center" vertical="center" wrapText="1"/>
    </xf>
    <xf numFmtId="6" fontId="1" fillId="14" borderId="10" xfId="0" applyNumberFormat="1" applyFont="1" applyFill="1" applyBorder="1" applyAlignment="1">
      <alignment horizontal="center" vertical="center" wrapText="1"/>
    </xf>
    <xf numFmtId="6" fontId="8" fillId="2" borderId="49" xfId="0" applyNumberFormat="1" applyFont="1" applyFill="1" applyBorder="1" applyAlignment="1">
      <alignment horizontal="center" vertical="center" wrapText="1"/>
    </xf>
    <xf numFmtId="6" fontId="8" fillId="2" borderId="10" xfId="0" applyNumberFormat="1" applyFont="1" applyFill="1" applyBorder="1" applyAlignment="1">
      <alignment horizontal="center" vertical="center" wrapText="1"/>
    </xf>
    <xf numFmtId="164" fontId="1" fillId="11" borderId="16" xfId="0" applyNumberFormat="1" applyFont="1" applyFill="1" applyBorder="1" applyAlignment="1">
      <alignment horizontal="center" vertical="center" wrapText="1"/>
    </xf>
    <xf numFmtId="164" fontId="1" fillId="11" borderId="54" xfId="0" applyNumberFormat="1" applyFont="1" applyFill="1" applyBorder="1" applyAlignment="1">
      <alignment horizontal="center" vertical="center" wrapText="1"/>
    </xf>
    <xf numFmtId="38" fontId="1" fillId="17" borderId="16" xfId="0" applyNumberFormat="1" applyFont="1" applyFill="1" applyBorder="1" applyAlignment="1">
      <alignment horizontal="center" vertical="center" wrapText="1"/>
    </xf>
    <xf numFmtId="38" fontId="1" fillId="17" borderId="54" xfId="0" applyNumberFormat="1" applyFont="1" applyFill="1" applyBorder="1" applyAlignment="1">
      <alignment horizontal="center" vertical="center" wrapText="1"/>
    </xf>
    <xf numFmtId="0" fontId="1" fillId="0" borderId="4" xfId="0" applyFont="1" applyBorder="1" applyAlignment="1">
      <alignment horizontal="center" vertical="center" wrapText="1"/>
    </xf>
    <xf numFmtId="6" fontId="1" fillId="6" borderId="1" xfId="0" applyNumberFormat="1" applyFont="1" applyFill="1" applyBorder="1" applyAlignment="1">
      <alignment horizontal="center" vertical="center" wrapText="1"/>
    </xf>
    <xf numFmtId="6" fontId="1" fillId="6" borderId="2" xfId="0" applyNumberFormat="1" applyFont="1" applyFill="1" applyBorder="1" applyAlignment="1">
      <alignment horizontal="center" vertical="center" wrapText="1"/>
    </xf>
    <xf numFmtId="6" fontId="1" fillId="6" borderId="3" xfId="0" applyNumberFormat="1" applyFont="1" applyFill="1" applyBorder="1" applyAlignment="1">
      <alignment horizontal="center" vertical="center" wrapText="1"/>
    </xf>
    <xf numFmtId="0" fontId="2" fillId="12" borderId="34" xfId="0" applyFont="1" applyFill="1" applyBorder="1" applyAlignment="1">
      <alignment horizontal="center" vertical="center" wrapText="1"/>
    </xf>
    <xf numFmtId="0" fontId="2" fillId="12" borderId="35" xfId="0" applyFont="1" applyFill="1" applyBorder="1" applyAlignment="1">
      <alignment horizontal="center" vertical="center" wrapText="1"/>
    </xf>
    <xf numFmtId="0" fontId="2" fillId="12" borderId="45" xfId="0" applyFont="1" applyFill="1" applyBorder="1" applyAlignment="1">
      <alignment horizontal="center" vertical="center" wrapText="1"/>
    </xf>
    <xf numFmtId="6" fontId="9" fillId="3" borderId="10" xfId="0" applyNumberFormat="1" applyFont="1" applyFill="1" applyBorder="1" applyAlignment="1">
      <alignment horizontal="center" vertical="center" wrapText="1"/>
    </xf>
    <xf numFmtId="0" fontId="2" fillId="12" borderId="58" xfId="0" applyFont="1" applyFill="1" applyBorder="1" applyAlignment="1">
      <alignment horizontal="center" vertical="center" wrapText="1"/>
    </xf>
    <xf numFmtId="6" fontId="9" fillId="3" borderId="16" xfId="0" applyNumberFormat="1" applyFont="1" applyFill="1" applyBorder="1" applyAlignment="1">
      <alignment horizontal="center" vertical="center" wrapText="1"/>
    </xf>
    <xf numFmtId="6" fontId="9" fillId="3" borderId="54" xfId="0" applyNumberFormat="1" applyFont="1" applyFill="1" applyBorder="1" applyAlignment="1">
      <alignment horizontal="center" vertical="center" wrapText="1"/>
    </xf>
    <xf numFmtId="6" fontId="9" fillId="3" borderId="13" xfId="0" applyNumberFormat="1" applyFont="1" applyFill="1" applyBorder="1" applyAlignment="1">
      <alignment horizontal="center" vertical="center" wrapText="1"/>
    </xf>
    <xf numFmtId="6" fontId="1" fillId="3" borderId="48" xfId="0" applyNumberFormat="1" applyFont="1" applyFill="1" applyBorder="1" applyAlignment="1">
      <alignment horizontal="center" vertical="center" wrapText="1"/>
    </xf>
    <xf numFmtId="6" fontId="1" fillId="3" borderId="53" xfId="0" applyNumberFormat="1" applyFont="1" applyFill="1" applyBorder="1" applyAlignment="1">
      <alignment horizontal="center" vertical="center" wrapText="1"/>
    </xf>
    <xf numFmtId="164" fontId="1" fillId="6" borderId="1" xfId="0" applyNumberFormat="1" applyFont="1" applyFill="1" applyBorder="1" applyAlignment="1">
      <alignment horizontal="center" vertical="center" wrapText="1"/>
    </xf>
    <xf numFmtId="164" fontId="1" fillId="6" borderId="2" xfId="0" applyNumberFormat="1" applyFont="1" applyFill="1" applyBorder="1" applyAlignment="1">
      <alignment horizontal="center" vertical="center" wrapText="1"/>
    </xf>
    <xf numFmtId="164" fontId="1" fillId="6" borderId="3" xfId="0" applyNumberFormat="1" applyFont="1" applyFill="1" applyBorder="1" applyAlignment="1">
      <alignment horizontal="center" vertical="center" wrapText="1"/>
    </xf>
    <xf numFmtId="6" fontId="1" fillId="3" borderId="49" xfId="0" applyNumberFormat="1" applyFont="1" applyFill="1" applyBorder="1" applyAlignment="1">
      <alignment horizontal="center" vertical="center" wrapText="1"/>
    </xf>
    <xf numFmtId="6" fontId="1" fillId="3" borderId="10" xfId="0" applyNumberFormat="1" applyFont="1" applyFill="1" applyBorder="1" applyAlignment="1">
      <alignment horizontal="center" vertical="center" wrapText="1"/>
    </xf>
    <xf numFmtId="0" fontId="5" fillId="13" borderId="16" xfId="0" applyFont="1" applyFill="1" applyBorder="1" applyAlignment="1">
      <alignment horizontal="center" vertical="center" wrapText="1" readingOrder="1"/>
    </xf>
    <xf numFmtId="0" fontId="5" fillId="13" borderId="54" xfId="0" applyFont="1" applyFill="1" applyBorder="1" applyAlignment="1">
      <alignment horizontal="center" vertical="center" wrapText="1" readingOrder="1"/>
    </xf>
    <xf numFmtId="0" fontId="5" fillId="13" borderId="44" xfId="0" applyFont="1" applyFill="1" applyBorder="1" applyAlignment="1">
      <alignment horizontal="center" vertical="center" wrapText="1" readingOrder="1"/>
    </xf>
    <xf numFmtId="0" fontId="5" fillId="13" borderId="12" xfId="0" applyFont="1" applyFill="1" applyBorder="1" applyAlignment="1">
      <alignment horizontal="center" vertical="center" wrapText="1" readingOrder="1"/>
    </xf>
    <xf numFmtId="0" fontId="5" fillId="13" borderId="0" xfId="0" applyFont="1" applyFill="1" applyBorder="1" applyAlignment="1">
      <alignment horizontal="center" vertical="center" wrapText="1" readingOrder="1"/>
    </xf>
    <xf numFmtId="0" fontId="2" fillId="6" borderId="1" xfId="0" applyFont="1" applyFill="1" applyBorder="1" applyAlignment="1">
      <alignment horizontal="center" vertical="center" wrapText="1" readingOrder="1"/>
    </xf>
    <xf numFmtId="0" fontId="2" fillId="6" borderId="2" xfId="0" applyFont="1" applyFill="1" applyBorder="1" applyAlignment="1">
      <alignment horizontal="center" vertical="center" wrapText="1" readingOrder="1"/>
    </xf>
    <xf numFmtId="4" fontId="1" fillId="6" borderId="39" xfId="0" applyNumberFormat="1" applyFont="1" applyFill="1" applyBorder="1" applyAlignment="1">
      <alignment horizontal="center"/>
    </xf>
    <xf numFmtId="4" fontId="1" fillId="6" borderId="44" xfId="0" applyNumberFormat="1" applyFont="1" applyFill="1" applyBorder="1" applyAlignment="1">
      <alignment horizontal="center"/>
    </xf>
    <xf numFmtId="0" fontId="5" fillId="13" borderId="0" xfId="0" quotePrefix="1" applyFont="1" applyFill="1" applyBorder="1" applyAlignment="1">
      <alignment horizontal="center" vertical="center" wrapText="1" readingOrder="1"/>
    </xf>
    <xf numFmtId="6" fontId="1" fillId="3" borderId="4" xfId="0" applyNumberFormat="1" applyFont="1" applyFill="1" applyBorder="1" applyAlignment="1">
      <alignment horizontal="center" vertical="center" wrapText="1"/>
    </xf>
    <xf numFmtId="6" fontId="1" fillId="3" borderId="22" xfId="0" applyNumberFormat="1" applyFont="1" applyFill="1" applyBorder="1" applyAlignment="1">
      <alignment horizontal="center" vertical="center" wrapText="1"/>
    </xf>
    <xf numFmtId="0" fontId="5" fillId="13" borderId="25" xfId="0" applyFont="1" applyFill="1" applyBorder="1" applyAlignment="1">
      <alignment horizontal="center" vertical="center" wrapText="1" readingOrder="1"/>
    </xf>
    <xf numFmtId="0" fontId="5" fillId="13" borderId="55" xfId="0" applyFont="1" applyFill="1" applyBorder="1" applyAlignment="1">
      <alignment horizontal="center" vertical="center" wrapText="1" readingOrder="1"/>
    </xf>
    <xf numFmtId="0" fontId="5" fillId="13" borderId="46" xfId="0" applyFont="1" applyFill="1" applyBorder="1" applyAlignment="1">
      <alignment horizontal="center" vertical="center" wrapText="1" readingOrder="1"/>
    </xf>
    <xf numFmtId="0" fontId="1" fillId="6" borderId="1" xfId="0" applyFont="1"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1" fillId="0" borderId="32" xfId="0" applyFont="1" applyBorder="1" applyAlignment="1">
      <alignment horizontal="center" vertical="center" wrapText="1"/>
    </xf>
    <xf numFmtId="0" fontId="1" fillId="0" borderId="18"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11" xfId="0" applyFont="1" applyBorder="1" applyAlignment="1">
      <alignment horizontal="center" vertical="center" wrapText="1"/>
    </xf>
    <xf numFmtId="6" fontId="9" fillId="3" borderId="14" xfId="0" applyNumberFormat="1" applyFont="1" applyFill="1" applyBorder="1" applyAlignment="1">
      <alignment horizontal="center" vertical="center" wrapText="1"/>
    </xf>
    <xf numFmtId="164" fontId="1" fillId="6" borderId="1" xfId="0" applyNumberFormat="1" applyFont="1" applyFill="1" applyBorder="1" applyAlignment="1">
      <alignment horizontal="center" vertical="center"/>
    </xf>
    <xf numFmtId="164" fontId="1" fillId="6" borderId="2" xfId="0" applyNumberFormat="1" applyFont="1" applyFill="1" applyBorder="1" applyAlignment="1">
      <alignment horizontal="center" vertical="center"/>
    </xf>
    <xf numFmtId="164" fontId="1" fillId="6" borderId="3" xfId="0" applyNumberFormat="1" applyFont="1" applyFill="1" applyBorder="1" applyAlignment="1">
      <alignment horizontal="center" vertical="center"/>
    </xf>
  </cellXfs>
  <cellStyles count="3">
    <cellStyle name="Comma" xfId="1" builtinId="3"/>
    <cellStyle name="Normal" xfId="0" builtinId="0"/>
    <cellStyle name="Percent" xfId="2" builtinId="5"/>
  </cellStyles>
  <dxfs count="29">
    <dxf>
      <numFmt numFmtId="10" formatCode="&quot;$&quot;#,##0_);[Red]\(&quot;$&quot;#,##0\)"/>
    </dxf>
    <dxf>
      <numFmt numFmtId="10" formatCode="&quot;$&quot;#,##0_);[Red]\(&quot;$&quot;#,##0\)"/>
    </dxf>
    <dxf>
      <numFmt numFmtId="10" formatCode="&quot;$&quot;#,##0_);[Red]\(&quot;$&quot;#,##0\)"/>
    </dxf>
    <dxf>
      <numFmt numFmtId="10" formatCode="&quot;$&quot;#,##0_);[Red]\(&quot;$&quot;#,##0\)"/>
    </dxf>
    <dxf>
      <numFmt numFmtId="6" formatCode="#,##0_);[Red]\(#,##0\)"/>
    </dxf>
    <dxf>
      <numFmt numFmtId="6" formatCode="#,##0_);[Red]\(#,##0\)"/>
    </dxf>
    <dxf>
      <numFmt numFmtId="6" formatCode="#,##0_);[Red]\(#,##0\)"/>
    </dxf>
    <dxf>
      <numFmt numFmtId="6" formatCode="#,##0_);[Red]\(#,##0\)"/>
    </dxf>
    <dxf>
      <numFmt numFmtId="10" formatCode="&quot;$&quot;#,##0_);[Red]\(&quot;$&quot;#,##0\)"/>
    </dxf>
    <dxf>
      <numFmt numFmtId="10" formatCode="&quot;$&quot;#,##0_);[Red]\(&quot;$&quot;#,##0\)"/>
    </dxf>
    <dxf>
      <numFmt numFmtId="13" formatCode="0%"/>
    </dxf>
    <dxf>
      <numFmt numFmtId="13" formatCode="0%"/>
    </dxf>
    <dxf>
      <numFmt numFmtId="6" formatCode="#,##0_);[Red]\(#,##0\)"/>
    </dxf>
    <dxf>
      <numFmt numFmtId="6" formatCode="#,##0_);[Red]\(#,##0\)"/>
    </dxf>
    <dxf>
      <fill>
        <patternFill>
          <bgColor theme="5" tint="0.59996337778862885"/>
        </patternFill>
      </fill>
    </dxf>
    <dxf>
      <numFmt numFmtId="6" formatCode="#,##0_);[Red]\(#,##0\)"/>
    </dxf>
    <dxf>
      <numFmt numFmtId="6" formatCode="#,##0_);[Red]\(#,##0\)"/>
    </dxf>
    <dxf>
      <numFmt numFmtId="13" formatCode="0%"/>
    </dxf>
    <dxf>
      <numFmt numFmtId="13" formatCode="0%"/>
    </dxf>
    <dxf>
      <numFmt numFmtId="10" formatCode="&quot;$&quot;#,##0_);[Red]\(&quot;$&quot;#,##0\)"/>
    </dxf>
    <dxf>
      <numFmt numFmtId="10" formatCode="&quot;$&quot;#,##0_);[Red]\(&quot;$&quot;#,##0\)"/>
    </dxf>
    <dxf>
      <numFmt numFmtId="6" formatCode="#,##0_);[Red]\(#,##0\)"/>
    </dxf>
    <dxf>
      <numFmt numFmtId="6" formatCode="#,##0_);[Red]\(#,##0\)"/>
    </dxf>
    <dxf>
      <numFmt numFmtId="6" formatCode="#,##0_);[Red]\(#,##0\)"/>
    </dxf>
    <dxf>
      <numFmt numFmtId="6" formatCode="#,##0_);[Red]\(#,##0\)"/>
    </dxf>
    <dxf>
      <numFmt numFmtId="10" formatCode="&quot;$&quot;#,##0_);[Red]\(&quot;$&quot;#,##0\)"/>
    </dxf>
    <dxf>
      <numFmt numFmtId="10" formatCode="&quot;$&quot;#,##0_);[Red]\(&quot;$&quot;#,##0\)"/>
    </dxf>
    <dxf>
      <numFmt numFmtId="10" formatCode="&quot;$&quot;#,##0_);[Red]\(&quot;$&quot;#,##0\)"/>
    </dxf>
    <dxf>
      <numFmt numFmtId="10" formatCode="&quot;$&quot;#,##0_);[Red]\(&quot;$&quot;#,##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390525</xdr:colOff>
          <xdr:row>5</xdr:row>
          <xdr:rowOff>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vert="wordArtVert" wrap="square" lIns="27432" tIns="0" rIns="27432" bIns="0" anchor="ctr" upright="1"/>
            <a:lstStyle/>
            <a:p>
              <a:pPr algn="ctr" rtl="0">
                <a:defRPr sz="1000"/>
              </a:pPr>
              <a:r>
                <a:rPr lang="en-US" sz="1200" b="1" i="0" u="none" strike="noStrike" baseline="0">
                  <a:solidFill>
                    <a:srgbClr val="000000"/>
                  </a:solidFill>
                  <a:latin typeface="Calibri"/>
                </a:rPr>
                <a:t>RUN</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hemparathy, Joshua" refreshedDate="42984.426641550926" createdVersion="4" refreshedVersion="4" minRefreshableVersion="3" recordCount="89">
  <cacheSource type="worksheet">
    <worksheetSource ref="A1:V1048576" sheet="Settlements Data"/>
  </cacheSource>
  <cacheFields count="24">
    <cacheField name="AREA" numFmtId="0">
      <sharedItems containsBlank="1" count="5">
        <s v="GTUR"/>
        <s v="RECP"/>
        <s v="CCYC"/>
        <s v="QF"/>
        <m/>
      </sharedItems>
    </cacheField>
    <cacheField name="RESOURCE_NAME" numFmtId="0">
      <sharedItems containsBlank="1" count="45">
        <s v="Panoche"/>
        <s v="Marsh Landing U1"/>
        <s v="Marsh Landing U2"/>
        <s v="Marsh Landing U3"/>
        <s v="Marsh Landing U4"/>
        <s v="Midway Peaking"/>
        <s v="Mariposa"/>
        <s v="Greenleaf"/>
        <s v="Feather River"/>
        <s v="Kern River U1"/>
        <s v="Kern River U2"/>
        <s v="Kern River U3"/>
        <s v="Kern River U4"/>
        <s v="Live Oak"/>
        <s v="Chalk Cliff"/>
        <s v="Bear Mountain"/>
        <s v="Badger Creek"/>
        <s v="Ripon"/>
        <s v="Hanford"/>
        <s v="McKittrick"/>
        <s v="Gilroy U1 and U2"/>
        <s v="Los Esteros"/>
        <s v="Midway Sunset"/>
        <s v="Double C"/>
        <s v="Kern Front"/>
        <s v="High Sierra"/>
        <s v="Gilroy Energy U3"/>
        <s v="King City U1"/>
        <s v="Lambie U1"/>
        <s v="Creed U1"/>
        <s v="Goose Haven U1"/>
        <s v="Riverview"/>
        <s v="Wolfskill"/>
        <s v="Yuba City"/>
        <s v="Henrietta Peaker U1"/>
        <s v="Henrietta Peaker U2"/>
        <s v="Agnews"/>
        <s v="Oroville"/>
        <s v="Russell City"/>
        <s v="Tracy"/>
        <s v="Calpine American"/>
        <s v="Crockett"/>
        <s v="Greenleaf II"/>
        <s v="Chevron"/>
        <m/>
      </sharedItems>
    </cacheField>
    <cacheField name="RESOURCE_TYPE" numFmtId="0">
      <sharedItems containsBlank="1"/>
    </cacheField>
    <cacheField name="PRIORITY" numFmtId="0">
      <sharedItems containsString="0" containsBlank="1" containsNumber="1" containsInteger="1" minValue="1" maxValue="44" count="45">
        <n v="1"/>
        <n v="2"/>
        <n v="3"/>
        <n v="4"/>
        <n v="5"/>
        <n v="6"/>
        <n v="7"/>
        <n v="8"/>
        <n v="9"/>
        <n v="10"/>
        <n v="11"/>
        <n v="12"/>
        <n v="13"/>
        <n v="14"/>
        <n v="15"/>
        <n v="16"/>
        <n v="17"/>
        <n v="18"/>
        <n v="19"/>
        <n v="20"/>
        <n v="21"/>
        <n v="22"/>
        <n v="23"/>
        <n v="24"/>
        <n v="25"/>
        <n v="26"/>
        <n v="27"/>
        <n v="28"/>
        <n v="29"/>
        <n v="30"/>
        <n v="31"/>
        <n v="32"/>
        <n v="33"/>
        <n v="34"/>
        <n v="35"/>
        <n v="36"/>
        <n v="37"/>
        <n v="38"/>
        <n v="39"/>
        <n v="40"/>
        <n v="41"/>
        <n v="42"/>
        <n v="43"/>
        <n v="44"/>
        <m/>
      </sharedItems>
    </cacheField>
    <cacheField name="TOTAL_ENERGY_AMOUNT" numFmtId="0">
      <sharedItems containsString="0" containsBlank="1" containsNumber="1" minValue="0" maxValue="6719986.5491192602"/>
    </cacheField>
    <cacheField name="TOTAL_CAPACITY_AMOUNT" numFmtId="0">
      <sharedItems containsString="0" containsBlank="1" containsNumber="1" minValue="-3886.459952492" maxValue="173638.50664492801"/>
    </cacheField>
    <cacheField name="TOTAL_DA_MWH" numFmtId="0">
      <sharedItems containsString="0" containsBlank="1" containsNumber="1" minValue="0" maxValue="161058.93999874801"/>
    </cacheField>
    <cacheField name="TOTAL_RTM_MWH" numFmtId="0">
      <sharedItems containsString="0" containsBlank="1" containsNumber="1" minValue="-49053.006048160998" maxValue="3421.1929519360001"/>
    </cacheField>
    <cacheField name="TOTAL_OUTPUT_MWH" numFmtId="0">
      <sharedItems containsString="0" containsBlank="1" containsNumber="1" minValue="0" maxValue="150364.98755379999"/>
    </cacheField>
    <cacheField name="UNINSTRUCTED_MWH_GROSS" numFmtId="0">
      <sharedItems containsString="0" containsBlank="1" containsNumber="1" minValue="0" maxValue="16685.735004858001"/>
    </cacheField>
    <cacheField name="CC6475" numFmtId="0">
      <sharedItems containsString="0" containsBlank="1" containsNumber="1" minValue="-3841.161917246" maxValue="566385.82741427503"/>
    </cacheField>
    <cacheField name="CC6100_6170" numFmtId="0">
      <sharedItems containsString="0" containsBlank="1" containsNumber="1" minValue="0" maxValue="153043.40304142499"/>
    </cacheField>
    <cacheField name="CC6200_6270" numFmtId="0">
      <sharedItems containsString="0" containsBlank="1" containsNumber="1" minValue="0" maxValue="118931.398994125"/>
    </cacheField>
    <cacheField name="CC6500_6570" numFmtId="0">
      <sharedItems containsString="0" containsBlank="1" containsNumber="1" minValue="0" maxValue="9497.7082948749994"/>
    </cacheField>
    <cacheField name="CC6600_6670" numFmtId="0">
      <sharedItems containsString="0" containsBlank="1" containsNumber="1" minValue="0" maxValue="966.54369999999994"/>
    </cacheField>
    <cacheField name="NET_NO_PAY" numFmtId="0">
      <sharedItems containsString="0" containsBlank="1" containsNumber="1" minValue="-11334.428013069" maxValue="0"/>
    </cacheField>
    <cacheField name="CC7070" numFmtId="0">
      <sharedItems containsString="0" containsBlank="1" containsNumber="1" minValue="-27930.436251719999" maxValue="859.70827163599995"/>
    </cacheField>
    <cacheField name="CC7071" numFmtId="0">
      <sharedItems containsString="0" containsBlank="1" containsNumber="1" minValue="0" maxValue="14219.354757335001"/>
    </cacheField>
    <cacheField name="CC7078" numFmtId="0">
      <sharedItems containsString="0" containsBlank="1" containsNumber="1" minValue="-983.42503132800005" maxValue="60.308891039000002"/>
    </cacheField>
    <cacheField name="CC7081" numFmtId="0">
      <sharedItems containsString="0" containsBlank="1" containsNumber="1" containsInteger="1" minValue="0" maxValue="0"/>
    </cacheField>
    <cacheField name="CC7088" numFmtId="0">
      <sharedItems containsString="0" containsBlank="1" containsNumber="1" containsInteger="1" minValue="0" maxValue="0"/>
    </cacheField>
    <cacheField name="RAAIM" numFmtId="0">
      <sharedItems containsString="0" containsBlank="1" containsNumber="1" minValue="-1980.0778447739999" maxValue="36076.619307451001"/>
    </cacheField>
    <cacheField name="UIE By Total Output" numFmtId="0" formula="UNINSTRUCTED_MWH_GROSS/TOTAL_OUTPUT_MWH" databaseField="0"/>
    <cacheField name="No Pay Percentage ABS" numFmtId="0" formula="ABS(NET_NO_PAY) / ABS(CC6100_6170+CC6200_6270+CC6500_6570+CC6600_667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9">
  <r>
    <x v="0"/>
    <x v="0"/>
    <s v="GEN"/>
    <x v="0"/>
    <n v="0"/>
    <n v="0"/>
    <n v="0"/>
    <n v="0"/>
    <n v="0"/>
    <n v="0"/>
    <n v="0"/>
    <n v="0"/>
    <n v="0"/>
    <n v="0"/>
    <n v="0"/>
    <n v="0"/>
    <n v="0"/>
    <n v="0"/>
    <n v="0"/>
    <n v="0"/>
    <n v="0"/>
    <n v="0"/>
  </r>
  <r>
    <x v="0"/>
    <x v="1"/>
    <s v="GEN"/>
    <x v="1"/>
    <n v="0"/>
    <n v="0"/>
    <n v="0"/>
    <n v="0"/>
    <n v="0"/>
    <n v="0"/>
    <n v="0"/>
    <n v="0"/>
    <n v="0"/>
    <n v="0"/>
    <n v="0"/>
    <n v="0"/>
    <n v="0"/>
    <n v="0"/>
    <n v="0"/>
    <n v="0"/>
    <n v="0"/>
    <n v="0"/>
  </r>
  <r>
    <x v="0"/>
    <x v="2"/>
    <s v="GEN"/>
    <x v="2"/>
    <n v="0"/>
    <n v="0"/>
    <n v="0"/>
    <n v="0"/>
    <n v="0"/>
    <n v="0"/>
    <n v="0"/>
    <n v="0"/>
    <n v="0"/>
    <n v="0"/>
    <n v="0"/>
    <n v="0"/>
    <n v="0"/>
    <n v="0"/>
    <n v="0"/>
    <n v="0"/>
    <n v="0"/>
    <n v="0"/>
  </r>
  <r>
    <x v="0"/>
    <x v="3"/>
    <s v="GEN"/>
    <x v="3"/>
    <n v="0"/>
    <n v="0"/>
    <n v="0"/>
    <n v="0"/>
    <n v="0"/>
    <n v="0"/>
    <n v="0"/>
    <n v="0"/>
    <n v="0"/>
    <n v="0"/>
    <n v="0"/>
    <n v="0"/>
    <n v="0"/>
    <n v="0"/>
    <n v="0"/>
    <n v="0"/>
    <n v="0"/>
    <n v="0"/>
  </r>
  <r>
    <x v="0"/>
    <x v="4"/>
    <s v="GEN"/>
    <x v="4"/>
    <n v="0"/>
    <n v="0"/>
    <n v="0"/>
    <n v="0"/>
    <n v="0"/>
    <n v="0"/>
    <n v="0"/>
    <n v="0"/>
    <n v="0"/>
    <n v="0"/>
    <n v="0"/>
    <n v="0"/>
    <n v="0"/>
    <n v="0"/>
    <n v="0"/>
    <n v="0"/>
    <n v="0"/>
    <n v="0"/>
  </r>
  <r>
    <x v="0"/>
    <x v="5"/>
    <s v="GEN"/>
    <x v="5"/>
    <n v="0"/>
    <n v="0"/>
    <n v="0"/>
    <n v="0"/>
    <n v="0"/>
    <n v="0"/>
    <n v="0"/>
    <n v="0"/>
    <n v="0"/>
    <n v="0"/>
    <n v="0"/>
    <n v="0"/>
    <n v="0"/>
    <n v="0"/>
    <n v="0"/>
    <n v="0"/>
    <n v="0"/>
    <n v="0"/>
  </r>
  <r>
    <x v="0"/>
    <x v="6"/>
    <s v="GEN"/>
    <x v="6"/>
    <n v="0"/>
    <n v="0"/>
    <n v="0"/>
    <n v="0"/>
    <n v="0"/>
    <n v="0"/>
    <n v="0"/>
    <n v="0"/>
    <n v="0"/>
    <n v="0"/>
    <n v="0"/>
    <n v="0"/>
    <n v="0"/>
    <n v="0"/>
    <n v="0"/>
    <n v="0"/>
    <n v="0"/>
    <n v="0"/>
  </r>
  <r>
    <x v="0"/>
    <x v="7"/>
    <s v="GEN"/>
    <x v="7"/>
    <n v="0"/>
    <n v="0"/>
    <n v="0"/>
    <n v="0"/>
    <n v="0"/>
    <n v="0"/>
    <n v="0"/>
    <n v="0"/>
    <n v="0"/>
    <n v="0"/>
    <n v="0"/>
    <n v="0"/>
    <n v="0"/>
    <n v="0"/>
    <n v="0"/>
    <n v="0"/>
    <n v="0"/>
    <n v="0"/>
  </r>
  <r>
    <x v="0"/>
    <x v="8"/>
    <s v="GEN"/>
    <x v="8"/>
    <n v="0"/>
    <n v="0"/>
    <n v="0"/>
    <n v="0"/>
    <n v="0"/>
    <n v="0"/>
    <n v="0"/>
    <n v="0"/>
    <n v="0"/>
    <n v="0"/>
    <n v="0"/>
    <n v="0"/>
    <n v="0"/>
    <n v="0"/>
    <n v="0"/>
    <n v="0"/>
    <n v="0"/>
    <n v="0"/>
  </r>
  <r>
    <x v="0"/>
    <x v="9"/>
    <s v="GEN"/>
    <x v="9"/>
    <n v="0"/>
    <n v="0"/>
    <n v="0"/>
    <n v="0"/>
    <n v="0"/>
    <n v="0"/>
    <n v="0"/>
    <n v="0"/>
    <n v="0"/>
    <n v="0"/>
    <n v="0"/>
    <n v="0"/>
    <n v="0"/>
    <n v="0"/>
    <n v="0"/>
    <n v="0"/>
    <n v="0"/>
    <n v="0"/>
  </r>
  <r>
    <x v="0"/>
    <x v="10"/>
    <s v="GEN"/>
    <x v="10"/>
    <n v="0"/>
    <n v="0"/>
    <n v="0"/>
    <n v="0"/>
    <n v="0"/>
    <n v="0"/>
    <n v="0"/>
    <n v="0"/>
    <n v="0"/>
    <n v="0"/>
    <n v="0"/>
    <n v="0"/>
    <n v="0"/>
    <n v="0"/>
    <n v="0"/>
    <n v="0"/>
    <n v="0"/>
    <n v="0"/>
  </r>
  <r>
    <x v="0"/>
    <x v="11"/>
    <s v="GEN"/>
    <x v="11"/>
    <n v="0"/>
    <n v="0"/>
    <n v="0"/>
    <n v="0"/>
    <n v="0"/>
    <n v="0"/>
    <n v="0"/>
    <n v="0"/>
    <n v="0"/>
    <n v="0"/>
    <n v="0"/>
    <n v="0"/>
    <n v="0"/>
    <n v="0"/>
    <n v="0"/>
    <n v="0"/>
    <n v="0"/>
    <n v="0"/>
  </r>
  <r>
    <x v="0"/>
    <x v="12"/>
    <s v="GEN"/>
    <x v="12"/>
    <n v="0"/>
    <n v="0"/>
    <n v="0"/>
    <n v="0"/>
    <n v="0"/>
    <n v="0"/>
    <n v="0"/>
    <n v="0"/>
    <n v="0"/>
    <n v="0"/>
    <n v="0"/>
    <n v="0"/>
    <n v="0"/>
    <n v="0"/>
    <n v="0"/>
    <n v="0"/>
    <n v="0"/>
    <n v="0"/>
  </r>
  <r>
    <x v="0"/>
    <x v="13"/>
    <s v="GEN"/>
    <x v="13"/>
    <n v="0"/>
    <n v="0"/>
    <n v="0"/>
    <n v="0"/>
    <n v="0"/>
    <n v="0"/>
    <n v="0"/>
    <n v="0"/>
    <n v="0"/>
    <n v="0"/>
    <n v="0"/>
    <n v="0"/>
    <n v="0"/>
    <n v="0"/>
    <n v="0"/>
    <n v="0"/>
    <n v="0"/>
    <n v="0"/>
  </r>
  <r>
    <x v="0"/>
    <x v="14"/>
    <s v="GEN"/>
    <x v="14"/>
    <n v="0"/>
    <n v="0"/>
    <n v="0"/>
    <n v="0"/>
    <n v="0"/>
    <n v="0"/>
    <n v="0"/>
    <n v="0"/>
    <n v="0"/>
    <n v="0"/>
    <n v="0"/>
    <n v="0"/>
    <n v="0"/>
    <n v="0"/>
    <n v="0"/>
    <n v="0"/>
    <n v="0"/>
    <n v="0"/>
  </r>
  <r>
    <x v="0"/>
    <x v="15"/>
    <s v="GEN"/>
    <x v="15"/>
    <n v="0"/>
    <n v="0"/>
    <n v="0"/>
    <n v="0"/>
    <n v="0"/>
    <n v="0"/>
    <n v="0"/>
    <n v="0"/>
    <n v="0"/>
    <n v="0"/>
    <n v="0"/>
    <n v="0"/>
    <n v="0"/>
    <n v="0"/>
    <n v="0"/>
    <n v="0"/>
    <n v="0"/>
    <n v="0"/>
  </r>
  <r>
    <x v="0"/>
    <x v="16"/>
    <s v="GEN"/>
    <x v="16"/>
    <n v="0"/>
    <n v="0"/>
    <n v="0"/>
    <n v="0"/>
    <n v="0"/>
    <n v="0"/>
    <n v="0"/>
    <n v="0"/>
    <n v="0"/>
    <n v="0"/>
    <n v="0"/>
    <n v="0"/>
    <n v="0"/>
    <n v="0"/>
    <n v="0"/>
    <n v="0"/>
    <n v="0"/>
    <n v="0"/>
  </r>
  <r>
    <x v="0"/>
    <x v="17"/>
    <s v="GEN"/>
    <x v="17"/>
    <n v="0"/>
    <n v="0"/>
    <n v="0"/>
    <n v="0"/>
    <n v="0"/>
    <n v="0"/>
    <n v="0"/>
    <n v="0"/>
    <n v="0"/>
    <n v="0"/>
    <n v="0"/>
    <n v="0"/>
    <n v="0"/>
    <n v="0"/>
    <n v="0"/>
    <n v="0"/>
    <n v="0"/>
    <n v="0"/>
  </r>
  <r>
    <x v="0"/>
    <x v="18"/>
    <s v="GEN"/>
    <x v="18"/>
    <n v="0"/>
    <n v="0"/>
    <n v="0"/>
    <n v="0"/>
    <n v="0"/>
    <n v="0"/>
    <n v="0"/>
    <n v="0"/>
    <n v="0"/>
    <n v="0"/>
    <n v="0"/>
    <n v="0"/>
    <n v="0"/>
    <n v="0"/>
    <n v="0"/>
    <n v="0"/>
    <n v="0"/>
    <n v="0"/>
  </r>
  <r>
    <x v="0"/>
    <x v="19"/>
    <s v="GEN"/>
    <x v="19"/>
    <n v="0"/>
    <n v="0"/>
    <n v="0"/>
    <n v="0"/>
    <n v="0"/>
    <n v="0"/>
    <n v="0"/>
    <n v="0"/>
    <n v="0"/>
    <n v="0"/>
    <n v="0"/>
    <n v="0"/>
    <n v="0"/>
    <n v="0"/>
    <n v="0"/>
    <n v="0"/>
    <n v="0"/>
    <n v="0"/>
  </r>
  <r>
    <x v="0"/>
    <x v="20"/>
    <s v="GEN"/>
    <x v="20"/>
    <n v="0"/>
    <n v="0"/>
    <n v="0"/>
    <n v="0"/>
    <n v="0"/>
    <n v="0"/>
    <n v="0"/>
    <n v="0"/>
    <n v="0"/>
    <n v="0"/>
    <n v="0"/>
    <n v="0"/>
    <n v="0"/>
    <n v="0"/>
    <n v="0"/>
    <n v="0"/>
    <n v="0"/>
    <n v="0"/>
  </r>
  <r>
    <x v="0"/>
    <x v="21"/>
    <s v="GEN"/>
    <x v="21"/>
    <n v="0"/>
    <n v="0"/>
    <n v="0"/>
    <n v="0"/>
    <n v="0"/>
    <n v="0"/>
    <n v="0"/>
    <n v="0"/>
    <n v="0"/>
    <n v="0"/>
    <n v="0"/>
    <n v="0"/>
    <n v="0"/>
    <n v="0"/>
    <n v="0"/>
    <n v="0"/>
    <n v="0"/>
    <n v="0"/>
  </r>
  <r>
    <x v="0"/>
    <x v="22"/>
    <s v="GEN"/>
    <x v="22"/>
    <n v="0"/>
    <n v="0"/>
    <n v="0"/>
    <n v="0"/>
    <n v="0"/>
    <n v="0"/>
    <n v="0"/>
    <n v="0"/>
    <n v="0"/>
    <n v="0"/>
    <n v="0"/>
    <n v="0"/>
    <n v="0"/>
    <n v="0"/>
    <n v="0"/>
    <n v="0"/>
    <n v="0"/>
    <n v="0"/>
  </r>
  <r>
    <x v="0"/>
    <x v="23"/>
    <s v="GEN"/>
    <x v="23"/>
    <n v="0"/>
    <n v="0"/>
    <n v="0"/>
    <n v="0"/>
    <n v="0"/>
    <n v="0"/>
    <n v="0"/>
    <n v="0"/>
    <n v="0"/>
    <n v="0"/>
    <n v="0"/>
    <n v="0"/>
    <n v="0"/>
    <n v="0"/>
    <n v="0"/>
    <n v="0"/>
    <n v="0"/>
    <n v="0"/>
  </r>
  <r>
    <x v="0"/>
    <x v="24"/>
    <s v="GEN"/>
    <x v="24"/>
    <n v="0"/>
    <n v="0"/>
    <n v="0"/>
    <n v="0"/>
    <n v="0"/>
    <n v="0"/>
    <n v="0"/>
    <n v="0"/>
    <n v="0"/>
    <n v="0"/>
    <n v="0"/>
    <n v="0"/>
    <n v="0"/>
    <n v="0"/>
    <n v="0"/>
    <n v="0"/>
    <n v="0"/>
    <n v="0"/>
  </r>
  <r>
    <x v="0"/>
    <x v="25"/>
    <s v="GEN"/>
    <x v="25"/>
    <n v="0"/>
    <n v="0"/>
    <n v="0"/>
    <n v="0"/>
    <n v="0"/>
    <n v="0"/>
    <n v="0"/>
    <n v="0"/>
    <n v="0"/>
    <n v="0"/>
    <n v="0"/>
    <n v="0"/>
    <n v="0"/>
    <n v="0"/>
    <n v="0"/>
    <n v="0"/>
    <n v="0"/>
    <n v="0"/>
  </r>
  <r>
    <x v="0"/>
    <x v="26"/>
    <s v="GEN"/>
    <x v="26"/>
    <n v="0"/>
    <n v="0"/>
    <n v="0"/>
    <n v="0"/>
    <n v="0"/>
    <n v="0"/>
    <n v="0"/>
    <n v="0"/>
    <n v="0"/>
    <n v="0"/>
    <n v="0"/>
    <n v="0"/>
    <n v="0"/>
    <n v="0"/>
    <n v="0"/>
    <n v="0"/>
    <n v="0"/>
    <n v="0"/>
  </r>
  <r>
    <x v="0"/>
    <x v="27"/>
    <s v="GEN"/>
    <x v="27"/>
    <n v="0"/>
    <n v="0"/>
    <n v="0"/>
    <n v="0"/>
    <n v="0"/>
    <n v="0"/>
    <n v="0"/>
    <n v="0"/>
    <n v="0"/>
    <n v="0"/>
    <n v="0"/>
    <n v="0"/>
    <n v="0"/>
    <n v="0"/>
    <n v="0"/>
    <n v="0"/>
    <n v="0"/>
    <n v="0"/>
  </r>
  <r>
    <x v="0"/>
    <x v="28"/>
    <s v="GEN"/>
    <x v="28"/>
    <n v="0"/>
    <n v="0"/>
    <n v="0"/>
    <n v="0"/>
    <n v="0"/>
    <n v="0"/>
    <n v="0"/>
    <n v="0"/>
    <n v="0"/>
    <n v="0"/>
    <n v="0"/>
    <n v="0"/>
    <n v="0"/>
    <n v="0"/>
    <n v="0"/>
    <n v="0"/>
    <n v="0"/>
    <n v="0"/>
  </r>
  <r>
    <x v="0"/>
    <x v="29"/>
    <s v="GEN"/>
    <x v="29"/>
    <n v="0"/>
    <n v="0"/>
    <n v="0"/>
    <n v="0"/>
    <n v="0"/>
    <n v="0"/>
    <n v="0"/>
    <n v="0"/>
    <n v="0"/>
    <n v="0"/>
    <n v="0"/>
    <n v="0"/>
    <n v="0"/>
    <n v="0"/>
    <n v="0"/>
    <n v="0"/>
    <n v="0"/>
    <n v="0"/>
  </r>
  <r>
    <x v="0"/>
    <x v="30"/>
    <s v="GEN"/>
    <x v="30"/>
    <n v="0"/>
    <n v="0"/>
    <n v="0"/>
    <n v="0"/>
    <n v="0"/>
    <n v="0"/>
    <n v="0"/>
    <n v="0"/>
    <n v="0"/>
    <n v="0"/>
    <n v="0"/>
    <n v="0"/>
    <n v="0"/>
    <n v="0"/>
    <n v="0"/>
    <n v="0"/>
    <n v="0"/>
    <n v="0"/>
  </r>
  <r>
    <x v="0"/>
    <x v="31"/>
    <s v="GEN"/>
    <x v="31"/>
    <n v="0"/>
    <n v="0"/>
    <n v="0"/>
    <n v="0"/>
    <n v="0"/>
    <n v="0"/>
    <n v="0"/>
    <n v="0"/>
    <n v="0"/>
    <n v="0"/>
    <n v="0"/>
    <n v="0"/>
    <n v="0"/>
    <n v="0"/>
    <n v="0"/>
    <n v="0"/>
    <n v="0"/>
    <n v="0"/>
  </r>
  <r>
    <x v="0"/>
    <x v="32"/>
    <s v="GEN"/>
    <x v="32"/>
    <n v="0"/>
    <n v="0"/>
    <n v="0"/>
    <n v="0"/>
    <n v="0"/>
    <n v="0"/>
    <n v="0"/>
    <n v="0"/>
    <n v="0"/>
    <n v="0"/>
    <n v="0"/>
    <n v="0"/>
    <n v="0"/>
    <n v="0"/>
    <n v="0"/>
    <n v="0"/>
    <n v="0"/>
    <n v="0"/>
  </r>
  <r>
    <x v="0"/>
    <x v="33"/>
    <s v="GEN"/>
    <x v="33"/>
    <n v="0"/>
    <n v="0"/>
    <n v="0"/>
    <n v="0"/>
    <n v="0"/>
    <n v="0"/>
    <n v="0"/>
    <n v="0"/>
    <n v="0"/>
    <n v="0"/>
    <n v="0"/>
    <n v="0"/>
    <n v="0"/>
    <n v="0"/>
    <n v="0"/>
    <n v="0"/>
    <n v="0"/>
    <n v="0"/>
  </r>
  <r>
    <x v="0"/>
    <x v="34"/>
    <s v="GEN"/>
    <x v="34"/>
    <n v="0"/>
    <n v="0"/>
    <n v="0"/>
    <n v="0"/>
    <n v="0"/>
    <n v="0"/>
    <n v="0"/>
    <n v="0"/>
    <n v="0"/>
    <n v="0"/>
    <n v="0"/>
    <n v="0"/>
    <n v="0"/>
    <n v="0"/>
    <n v="0"/>
    <n v="0"/>
    <n v="0"/>
    <n v="0"/>
  </r>
  <r>
    <x v="0"/>
    <x v="35"/>
    <s v="GEN"/>
    <x v="35"/>
    <n v="0"/>
    <n v="0"/>
    <n v="0"/>
    <n v="0"/>
    <n v="0"/>
    <n v="0"/>
    <n v="0"/>
    <n v="0"/>
    <n v="0"/>
    <n v="0"/>
    <n v="0"/>
    <n v="0"/>
    <n v="0"/>
    <n v="0"/>
    <n v="0"/>
    <n v="0"/>
    <n v="0"/>
    <n v="0"/>
  </r>
  <r>
    <x v="0"/>
    <x v="36"/>
    <s v="GEN"/>
    <x v="36"/>
    <n v="0"/>
    <n v="0"/>
    <n v="0"/>
    <n v="0"/>
    <n v="0"/>
    <n v="0"/>
    <n v="0"/>
    <n v="0"/>
    <n v="0"/>
    <n v="0"/>
    <n v="0"/>
    <n v="0"/>
    <n v="0"/>
    <n v="0"/>
    <n v="0"/>
    <n v="0"/>
    <n v="0"/>
    <n v="0"/>
  </r>
  <r>
    <x v="1"/>
    <x v="37"/>
    <s v="GEN"/>
    <x v="37"/>
    <n v="0"/>
    <n v="0"/>
    <n v="0"/>
    <n v="0"/>
    <n v="0"/>
    <n v="0"/>
    <n v="0"/>
    <n v="0"/>
    <n v="0"/>
    <n v="0"/>
    <n v="0"/>
    <n v="0"/>
    <n v="0"/>
    <n v="0"/>
    <n v="0"/>
    <n v="0"/>
    <n v="0"/>
    <n v="0"/>
  </r>
  <r>
    <x v="2"/>
    <x v="38"/>
    <s v="GEN"/>
    <x v="38"/>
    <n v="0"/>
    <n v="0"/>
    <n v="0"/>
    <n v="0"/>
    <n v="0"/>
    <n v="0"/>
    <n v="0"/>
    <n v="0"/>
    <n v="0"/>
    <n v="0"/>
    <n v="0"/>
    <n v="0"/>
    <n v="0"/>
    <n v="0"/>
    <n v="0"/>
    <n v="0"/>
    <n v="0"/>
    <n v="0"/>
  </r>
  <r>
    <x v="2"/>
    <x v="39"/>
    <s v="GEN"/>
    <x v="39"/>
    <n v="0"/>
    <n v="0"/>
    <n v="0"/>
    <n v="0"/>
    <n v="0"/>
    <n v="0"/>
    <n v="0"/>
    <n v="0"/>
    <n v="0"/>
    <n v="0"/>
    <n v="0"/>
    <n v="0"/>
    <n v="0"/>
    <n v="0"/>
    <n v="0"/>
    <n v="0"/>
    <n v="0"/>
    <n v="0"/>
  </r>
  <r>
    <x v="3"/>
    <x v="40"/>
    <s v="GEN"/>
    <x v="40"/>
    <n v="0"/>
    <n v="0"/>
    <n v="0"/>
    <n v="0"/>
    <n v="0"/>
    <n v="0"/>
    <n v="0"/>
    <n v="0"/>
    <n v="0"/>
    <n v="0"/>
    <n v="0"/>
    <n v="0"/>
    <n v="0"/>
    <n v="0"/>
    <n v="0"/>
    <n v="0"/>
    <n v="0"/>
    <n v="0"/>
  </r>
  <r>
    <x v="3"/>
    <x v="41"/>
    <s v="GEN"/>
    <x v="41"/>
    <n v="0"/>
    <n v="0"/>
    <n v="0"/>
    <n v="0"/>
    <n v="0"/>
    <n v="0"/>
    <n v="0"/>
    <n v="0"/>
    <n v="0"/>
    <n v="0"/>
    <n v="0"/>
    <n v="0"/>
    <n v="0"/>
    <n v="0"/>
    <n v="0"/>
    <n v="0"/>
    <n v="0"/>
    <n v="0"/>
  </r>
  <r>
    <x v="3"/>
    <x v="42"/>
    <s v="GEN"/>
    <x v="42"/>
    <n v="0"/>
    <n v="0"/>
    <n v="0"/>
    <n v="0"/>
    <n v="0"/>
    <n v="0"/>
    <n v="0"/>
    <n v="0"/>
    <n v="0"/>
    <n v="0"/>
    <n v="0"/>
    <n v="0"/>
    <n v="0"/>
    <n v="0"/>
    <n v="0"/>
    <n v="0"/>
    <n v="0"/>
    <n v="0"/>
  </r>
  <r>
    <x v="3"/>
    <x v="43"/>
    <s v="GEN"/>
    <x v="43"/>
    <n v="0"/>
    <n v="0"/>
    <n v="0"/>
    <n v="0"/>
    <n v="0"/>
    <n v="0"/>
    <n v="0"/>
    <n v="0"/>
    <n v="0"/>
    <n v="0"/>
    <n v="0"/>
    <n v="0"/>
    <n v="0"/>
    <n v="0"/>
    <n v="0"/>
    <n v="0"/>
    <n v="0"/>
    <n v="0"/>
  </r>
  <r>
    <x v="0"/>
    <x v="0"/>
    <s v="GEN"/>
    <x v="0"/>
    <n v="3772479.7456578198"/>
    <n v="15772.87205577"/>
    <n v="109509.62000114399"/>
    <n v="-49053.006048160998"/>
    <n v="61213.938391299998"/>
    <n v="2090.3062394620001"/>
    <n v="74976.129898622996"/>
    <n v="18423.362223525"/>
    <n v="0"/>
    <n v="0"/>
    <n v="0"/>
    <n v="-1609.4931979999999"/>
    <n v="-2028.053956704"/>
    <n v="1094.8733057960001"/>
    <n v="-47.033514340000004"/>
    <n v="0"/>
    <n v="0"/>
    <n v="0"/>
  </r>
  <r>
    <x v="0"/>
    <x v="9"/>
    <s v="GEN"/>
    <x v="9"/>
    <n v="221042.44427356499"/>
    <n v="911.29887243200005"/>
    <n v="3082.600000248"/>
    <n v="196.748345476"/>
    <n v="3853.4592296999999"/>
    <n v="702.234249998"/>
    <n v="22219.333460556001"/>
    <n v="3158.236418"/>
    <n v="0"/>
    <n v="2721.337685425"/>
    <n v="13.298999999999999"/>
    <n v="-4052.7122342309999"/>
    <n v="-1091.6025042220001"/>
    <n v="192.78937725200001"/>
    <n v="-24.015200567000001"/>
    <n v="0"/>
    <n v="0"/>
    <n v="0"/>
  </r>
  <r>
    <x v="0"/>
    <x v="10"/>
    <s v="GEN"/>
    <x v="10"/>
    <n v="172661.85268987401"/>
    <n v="300.69999323799999"/>
    <n v="2322.300000144"/>
    <n v="169.287499978"/>
    <n v="2864.0233364000001"/>
    <n v="943.442863096"/>
    <n v="11992.310157628999"/>
    <n v="3303.723794"/>
    <n v="0"/>
    <n v="0"/>
    <n v="0"/>
    <n v="-2206.376204318"/>
    <n v="-732.83891230200004"/>
    <n v="70.114194999000006"/>
    <n v="1.723111077"/>
    <n v="0"/>
    <n v="0"/>
    <n v="0"/>
  </r>
  <r>
    <x v="0"/>
    <x v="11"/>
    <s v="GEN"/>
    <x v="11"/>
    <n v="282569.03667302598"/>
    <n v="2508.380502729"/>
    <n v="4169.6500002120001"/>
    <n v="174.94932458900001"/>
    <n v="4595.7628428999997"/>
    <n v="379.33703884400001"/>
    <n v="20939.358295776001"/>
    <n v="7044.0990938000004"/>
    <n v="0"/>
    <n v="0"/>
    <n v="0"/>
    <n v="-3622.2558458120002"/>
    <n v="-1005.029423883"/>
    <n v="121.585031499"/>
    <n v="-29.71162301"/>
    <n v="0"/>
    <n v="0"/>
    <n v="0"/>
  </r>
  <r>
    <x v="0"/>
    <x v="12"/>
    <s v="GEN"/>
    <x v="12"/>
    <n v="1923759.72931868"/>
    <n v="-15.662460834000001"/>
    <n v="53745.100000295999"/>
    <n v="25.974718359000001"/>
    <n v="53841.949093000003"/>
    <n v="512.69378062999999"/>
    <n v="886.05300600500004"/>
    <n v="0"/>
    <n v="0"/>
    <n v="0"/>
    <n v="0"/>
    <n v="0"/>
    <n v="62.252754701999997"/>
    <n v="0"/>
    <n v="-57.936900854000001"/>
    <n v="0"/>
    <n v="0"/>
    <n v="0"/>
  </r>
  <r>
    <x v="0"/>
    <x v="13"/>
    <s v="GEN"/>
    <x v="13"/>
    <n v="159889.17742605999"/>
    <n v="-474.16941317999999"/>
    <n v="2453.3000001"/>
    <n v="118.892713292"/>
    <n v="2769.4981911"/>
    <n v="214.89336258"/>
    <n v="7511.3624807249998"/>
    <n v="0"/>
    <n v="0"/>
    <n v="0"/>
    <n v="0"/>
    <n v="0"/>
    <n v="-561.84981488999995"/>
    <n v="89.461585752000005"/>
    <n v="-1.7008940829999999"/>
    <n v="0"/>
    <n v="0"/>
    <n v="0"/>
  </r>
  <r>
    <x v="0"/>
    <x v="14"/>
    <s v="GEN"/>
    <x v="14"/>
    <n v="91835.286743061006"/>
    <n v="-167.50134445699999"/>
    <n v="1544.799999996"/>
    <n v="-2.6431258149999999"/>
    <n v="1667.0115668999999"/>
    <n v="160.26688057300001"/>
    <n v="4802.591296087"/>
    <n v="0"/>
    <n v="0"/>
    <n v="0"/>
    <n v="0"/>
    <n v="0"/>
    <n v="-244.505853648"/>
    <n v="85.652092499000005"/>
    <n v="-7.4470752129999997"/>
    <n v="0"/>
    <n v="0"/>
    <n v="0"/>
  </r>
  <r>
    <x v="0"/>
    <x v="15"/>
    <s v="GEN"/>
    <x v="15"/>
    <n v="281850.48978752003"/>
    <n v="-732.45647464900003"/>
    <n v="5034.8900003159997"/>
    <n v="-6.44770822"/>
    <n v="5271.6311531000001"/>
    <n v="473.55386325699999"/>
    <n v="2244.8581425319999"/>
    <n v="0"/>
    <n v="0"/>
    <n v="0"/>
    <n v="0"/>
    <n v="0"/>
    <n v="-895.393216284"/>
    <n v="208.36753038399999"/>
    <n v="-40.182074323999998"/>
    <n v="0"/>
    <n v="0"/>
    <n v="0"/>
  </r>
  <r>
    <x v="0"/>
    <x v="16"/>
    <s v="GEN"/>
    <x v="16"/>
    <n v="74014.325933258995"/>
    <n v="-133.214449892"/>
    <n v="948.50000013600004"/>
    <n v="18.772083357"/>
    <n v="1290.7126985"/>
    <n v="324.21780801300002"/>
    <n v="10223.858103602999"/>
    <n v="0"/>
    <n v="0"/>
    <n v="0"/>
    <n v="0"/>
    <n v="0"/>
    <n v="-133.03216028400001"/>
    <n v="0"/>
    <n v="-0.10305946000000001"/>
    <n v="0"/>
    <n v="0"/>
    <n v="0"/>
  </r>
  <r>
    <x v="0"/>
    <x v="17"/>
    <s v="GEN"/>
    <x v="17"/>
    <n v="154934.64237078099"/>
    <n v="1310.64836216"/>
    <n v="2012.85"/>
    <n v="-151.805206078"/>
    <n v="2095.6951174999999"/>
    <n v="245.16180752"/>
    <n v="23247.304549578999"/>
    <n v="1488.7913805000001"/>
    <n v="0"/>
    <n v="0"/>
    <n v="0"/>
    <n v="-14.466531946"/>
    <n v="-521.94816629100001"/>
    <n v="360.53790920400002"/>
    <n v="-1.7623294169999999"/>
    <n v="0"/>
    <n v="0"/>
    <n v="0"/>
  </r>
  <r>
    <x v="0"/>
    <x v="18"/>
    <s v="GEN"/>
    <x v="18"/>
    <n v="160690.50262578201"/>
    <n v="29814.289995337"/>
    <n v="1677.7299998880001"/>
    <n v="-347.70168589799999"/>
    <n v="1552.1330449"/>
    <n v="302.48198223200001"/>
    <n v="18755.507365738002"/>
    <n v="28552.382189299999"/>
    <n v="0"/>
    <n v="0"/>
    <n v="0"/>
    <n v="-9363.7404635950006"/>
    <n v="-291.06454984800001"/>
    <n v="2062.5786690989999"/>
    <n v="-6.3446186569999998"/>
    <n v="0"/>
    <n v="0"/>
    <n v="8860.4793177930005"/>
  </r>
  <r>
    <x v="0"/>
    <x v="1"/>
    <s v="GEN"/>
    <x v="1"/>
    <n v="105900.33265907899"/>
    <n v="118867.245609836"/>
    <n v="0"/>
    <n v="1822.724347223"/>
    <n v="1839.7832082"/>
    <n v="28.798821418999999"/>
    <n v="488.54453230199999"/>
    <n v="0.315"/>
    <n v="118931.398994125"/>
    <n v="0"/>
    <n v="0"/>
    <n v="-61.740243458000002"/>
    <n v="0"/>
    <n v="0"/>
    <n v="-2.7281408310000002"/>
    <n v="0"/>
    <n v="0"/>
    <n v="0"/>
  </r>
  <r>
    <x v="0"/>
    <x v="19"/>
    <s v="GEN"/>
    <x v="19"/>
    <n v="73808.084510617002"/>
    <n v="-41.714324607999998"/>
    <n v="987.80000011200002"/>
    <n v="108.662500022"/>
    <n v="1196.4815068"/>
    <n v="98.363529001000003"/>
    <n v="4556.3032888280004"/>
    <n v="0"/>
    <n v="0"/>
    <n v="0"/>
    <n v="0"/>
    <n v="0"/>
    <n v="-45.473602237000001"/>
    <n v="3.766095"/>
    <n v="-6.817371E-3"/>
    <n v="0"/>
    <n v="0"/>
    <n v="0"/>
  </r>
  <r>
    <x v="0"/>
    <x v="20"/>
    <s v="GEN"/>
    <x v="20"/>
    <n v="123688.24752370099"/>
    <n v="45727.418942142001"/>
    <n v="1518.229999956"/>
    <n v="-39.323318962000002"/>
    <n v="1468.739632"/>
    <n v="198.637103696"/>
    <n v="201.23836577200001"/>
    <n v="47770.622177450001"/>
    <n v="975.8500143"/>
    <n v="0"/>
    <n v="0"/>
    <n v="-3669.6452532859998"/>
    <n v="-11.186969553999999"/>
    <n v="694.33122247300003"/>
    <n v="-30.287878388999999"/>
    <n v="0"/>
    <n v="0"/>
    <n v="0"/>
  </r>
  <r>
    <x v="0"/>
    <x v="21"/>
    <s v="GEN"/>
    <x v="21"/>
    <n v="1696678.24050827"/>
    <n v="-3886.459952492"/>
    <n v="29204.849999964001"/>
    <n v="-194.24527131299999"/>
    <n v="30370.0072186"/>
    <n v="2794.5543008730001"/>
    <n v="48124.324330609998"/>
    <n v="0"/>
    <n v="0"/>
    <n v="0"/>
    <n v="0"/>
    <n v="0"/>
    <n v="-4019.667298675"/>
    <n v="445.85244080699999"/>
    <n v="-256.51433624600003"/>
    <n v="0"/>
    <n v="0"/>
    <n v="0"/>
  </r>
  <r>
    <x v="0"/>
    <x v="22"/>
    <s v="GEN"/>
    <x v="22"/>
    <n v="3037275.8068792098"/>
    <n v="33959.415648463997"/>
    <n v="75212.059999692006"/>
    <n v="-6375.8170298240002"/>
    <n v="70004.660600200004"/>
    <n v="1798.0170132830001"/>
    <n v="77716.836849419997"/>
    <n v="32350.20986205"/>
    <n v="0"/>
    <n v="9497.7082948749994"/>
    <n v="672.92520460000003"/>
    <n v="-2190.4010778699999"/>
    <n v="-6271.340132409"/>
    <n v="0"/>
    <n v="-57.126238938999997"/>
    <n v="0"/>
    <n v="0"/>
    <n v="0"/>
  </r>
  <r>
    <x v="0"/>
    <x v="23"/>
    <s v="GEN"/>
    <x v="23"/>
    <n v="198107.65060557699"/>
    <n v="-701.92833416799999"/>
    <n v="2903.8000003560001"/>
    <n v="68.889583423000005"/>
    <n v="3318.8195357"/>
    <n v="346.41463973999998"/>
    <n v="16571.422457887002"/>
    <n v="0"/>
    <n v="0"/>
    <n v="0"/>
    <n v="0"/>
    <n v="0"/>
    <n v="-738.33049555900004"/>
    <n v="36.468934500000003"/>
    <n v="0.28051715399999999"/>
    <n v="0"/>
    <n v="0"/>
    <n v="0"/>
  </r>
  <r>
    <x v="0"/>
    <x v="24"/>
    <s v="GEN"/>
    <x v="24"/>
    <n v="686571.929533166"/>
    <n v="-2282.5348466280002"/>
    <n v="13815.400000644"/>
    <n v="-66.606041247999997"/>
    <n v="14636.456707400001"/>
    <n v="1073.4534779959999"/>
    <n v="28784.024345963"/>
    <n v="0"/>
    <n v="0"/>
    <n v="0"/>
    <n v="0"/>
    <n v="0"/>
    <n v="-2271.6557941619999"/>
    <n v="30.607667085999999"/>
    <n v="-27.491888781"/>
    <n v="0"/>
    <n v="0"/>
    <n v="0"/>
  </r>
  <r>
    <x v="0"/>
    <x v="25"/>
    <s v="GEN"/>
    <x v="25"/>
    <n v="196852.942822882"/>
    <n v="-652.88009951799995"/>
    <n v="2898.7000001040001"/>
    <n v="58.308333388999998"/>
    <n v="3290.9745610999998"/>
    <n v="339.13665120000002"/>
    <n v="16229.197992961999"/>
    <n v="0"/>
    <n v="0"/>
    <n v="0"/>
    <n v="0"/>
    <n v="0"/>
    <n v="-680.92736404799996"/>
    <n v="29.259980499000001"/>
    <n v="-1.212715969"/>
    <n v="0"/>
    <n v="0"/>
    <n v="0"/>
  </r>
  <r>
    <x v="0"/>
    <x v="26"/>
    <s v="GEN"/>
    <x v="26"/>
    <n v="56953.664785808003"/>
    <n v="20466.093751483"/>
    <n v="749.03000007599996"/>
    <n v="-217.65375899399999"/>
    <n v="558.22576319999996"/>
    <n v="62.637841418000001"/>
    <n v="3065.267967068"/>
    <n v="16081.2268277"/>
    <n v="0"/>
    <n v="0"/>
    <n v="0"/>
    <n v="-717.40952722300005"/>
    <n v="-276.74024637299999"/>
    <n v="0"/>
    <n v="-8.3941027649999995"/>
    <n v="0"/>
    <n v="0"/>
    <n v="5387.4108001439999"/>
  </r>
  <r>
    <x v="0"/>
    <x v="27"/>
    <s v="GEN"/>
    <x v="27"/>
    <n v="50816.198646757002"/>
    <n v="18406.576676051998"/>
    <n v="672.20000010000001"/>
    <n v="-230.21000734500001"/>
    <n v="462.31959510000002"/>
    <n v="36.860523043000001"/>
    <n v="3131.1994445619998"/>
    <n v="14461.041735000001"/>
    <n v="0"/>
    <n v="0"/>
    <n v="0"/>
    <n v="-1032.504461927"/>
    <n v="-218.91709745700001"/>
    <n v="0"/>
    <n v="-3.8006674020000002"/>
    <n v="0"/>
    <n v="0"/>
    <n v="5200.8338054289998"/>
  </r>
  <r>
    <x v="0"/>
    <x v="28"/>
    <s v="GEN"/>
    <x v="28"/>
    <n v="85718.653398905997"/>
    <n v="23880.268361507999"/>
    <n v="1357.6200001320001"/>
    <n v="-400.16792053199998"/>
    <n v="1036.7345373999999"/>
    <n v="103.926831976"/>
    <n v="363.17671240300001"/>
    <n v="18584.5151506"/>
    <n v="0"/>
    <n v="0"/>
    <n v="0"/>
    <n v="-576.20874500699995"/>
    <n v="-166.68762681300001"/>
    <n v="447.11995999800001"/>
    <n v="-5.779940463"/>
    <n v="0"/>
    <n v="0"/>
    <n v="5597.3099269730001"/>
  </r>
  <r>
    <x v="0"/>
    <x v="2"/>
    <s v="GEN"/>
    <x v="2"/>
    <n v="105934.21134522"/>
    <n v="117326.173410523"/>
    <n v="0"/>
    <n v="1820.5651736120001"/>
    <n v="1840.6887872"/>
    <n v="30.165060403999998"/>
    <n v="577.33110967699997"/>
    <n v="0"/>
    <n v="117460.79434515"/>
    <n v="0"/>
    <n v="0"/>
    <n v="-132.29085563699999"/>
    <n v="0"/>
    <n v="0"/>
    <n v="-2.3300789900000001"/>
    <n v="0"/>
    <n v="0"/>
    <n v="0"/>
  </r>
  <r>
    <x v="0"/>
    <x v="29"/>
    <s v="GEN"/>
    <x v="29"/>
    <n v="99844.282518677996"/>
    <n v="25283.697151785"/>
    <n v="1402.350000144"/>
    <n v="-376.65979552800002"/>
    <n v="1114.2058761999999"/>
    <n v="98.273895400000001"/>
    <n v="7769.204779402"/>
    <n v="20106.915951499999"/>
    <n v="0"/>
    <n v="0"/>
    <n v="0"/>
    <n v="-697.45062365000001"/>
    <n v="157.72126433700001"/>
    <n v="121.48941000000001"/>
    <n v="-2.288678703"/>
    <n v="0"/>
    <n v="0"/>
    <n v="5597.3099269730001"/>
  </r>
  <r>
    <x v="0"/>
    <x v="30"/>
    <s v="GEN"/>
    <x v="30"/>
    <n v="114176.558386427"/>
    <n v="26645.166346424001"/>
    <n v="1480.8800001479999"/>
    <n v="-322.13667571500002"/>
    <n v="1248.9985551"/>
    <n v="110.734829354"/>
    <n v="4576.8108338149996"/>
    <n v="21400.1079684"/>
    <n v="0"/>
    <n v="0"/>
    <n v="0"/>
    <n v="-603.43689786599998"/>
    <n v="-316.81946931099998"/>
    <n v="572.78046000100005"/>
    <n v="-2.9009774560000001"/>
    <n v="0"/>
    <n v="0"/>
    <n v="5597.3099269730001"/>
  </r>
  <r>
    <x v="0"/>
    <x v="31"/>
    <s v="GEN"/>
    <x v="31"/>
    <n v="144824.21313931199"/>
    <n v="17642.452835573"/>
    <n v="3403.6100005799999"/>
    <n v="-1881.513146147"/>
    <n v="1592.858592"/>
    <n v="160.49306735299999"/>
    <n v="11.322391603"/>
    <n v="12799.852521425"/>
    <n v="0"/>
    <n v="0"/>
    <n v="0"/>
    <n v="-389.36378473100001"/>
    <n v="-529.49753600500003"/>
    <n v="821.93256254200003"/>
    <n v="-17.674495541999999"/>
    <n v="0"/>
    <n v="0"/>
    <n v="4960.5392882320002"/>
  </r>
  <r>
    <x v="0"/>
    <x v="32"/>
    <s v="GEN"/>
    <x v="32"/>
    <n v="53155.408221072998"/>
    <n v="6622.5525453299997"/>
    <n v="3246.8800005480002"/>
    <n v="-2166.267500291"/>
    <n v="1113.2619970000001"/>
    <n v="142.131580173"/>
    <n v="4619.9687368699997"/>
    <n v="7607.7061673999997"/>
    <n v="0"/>
    <n v="0"/>
    <n v="0"/>
    <n v="-802.52891598300005"/>
    <n v="-254.55503411999999"/>
    <n v="97.609205501999995"/>
    <n v="-23.719721703000001"/>
    <n v="0"/>
    <n v="0"/>
    <n v="0"/>
  </r>
  <r>
    <x v="0"/>
    <x v="33"/>
    <s v="GEN"/>
    <x v="33"/>
    <n v="100627.625881663"/>
    <n v="22988.941559714"/>
    <n v="636.82000012799995"/>
    <n v="551.036477354"/>
    <n v="1291.2275500999999"/>
    <n v="164.058246642"/>
    <n v="10134.415796423"/>
    <n v="19862.392761075"/>
    <n v="0"/>
    <n v="0"/>
    <n v="0"/>
    <n v="-875.60630413299998"/>
    <n v="-298.49710826900002"/>
    <n v="1216.9893525289999"/>
    <n v="-12.782483681"/>
    <n v="0"/>
    <n v="0"/>
    <n v="3096.4877851669999"/>
  </r>
  <r>
    <x v="0"/>
    <x v="34"/>
    <s v="GEN"/>
    <x v="34"/>
    <n v="148783.655004222"/>
    <n v="4207.5681393490004"/>
    <n v="4416.2200003919997"/>
    <n v="-2961.8020984660002"/>
    <n v="1653.7079458999999"/>
    <n v="221.68159013600001"/>
    <n v="8487.8798027150006"/>
    <n v="4138.8089932250004"/>
    <n v="0"/>
    <n v="0"/>
    <n v="0"/>
    <n v="-694.87352179699997"/>
    <n v="612.86104396500002"/>
    <n v="155.70886424700001"/>
    <n v="-0.74767478700000001"/>
    <n v="0"/>
    <n v="0"/>
    <n v="0"/>
  </r>
  <r>
    <x v="0"/>
    <x v="35"/>
    <s v="GEN"/>
    <x v="35"/>
    <n v="135015.824846995"/>
    <n v="3531.05767457"/>
    <n v="4400.5000004760004"/>
    <n v="-3068.0491980930001"/>
    <n v="1470.1595427"/>
    <n v="190.97151230200001"/>
    <n v="2465.2751728160001"/>
    <n v="3037.8226500750002"/>
    <n v="0"/>
    <n v="0"/>
    <n v="0"/>
    <n v="-416.84484609100002"/>
    <n v="859.70827163599995"/>
    <n v="62.7363024"/>
    <n v="-7.084565295"/>
    <n v="0"/>
    <n v="0"/>
    <n v="0"/>
  </r>
  <r>
    <x v="0"/>
    <x v="36"/>
    <s v="GEN"/>
    <x v="36"/>
    <n v="266586.76407628198"/>
    <n v="1549.7864478690001"/>
    <n v="4943.2900013999997"/>
    <n v="-535.02166696899997"/>
    <n v="4852.9830805000001"/>
    <n v="697.37380405800002"/>
    <n v="10635.956705838"/>
    <n v="0"/>
    <n v="0"/>
    <n v="0"/>
    <n v="0"/>
    <n v="0"/>
    <n v="-739.14066634000005"/>
    <n v="2346.2515361589999"/>
    <n v="-35.759094652000002"/>
    <n v="0"/>
    <n v="0"/>
    <n v="0"/>
  </r>
  <r>
    <x v="1"/>
    <x v="37"/>
    <s v="GEN"/>
    <x v="37"/>
    <n v="0"/>
    <n v="0"/>
    <n v="0"/>
    <n v="0"/>
    <n v="0"/>
    <n v="0"/>
    <n v="0"/>
    <n v="0"/>
    <n v="0"/>
    <n v="0"/>
    <n v="0"/>
    <n v="0"/>
    <n v="0"/>
    <n v="0"/>
    <n v="0"/>
    <n v="0"/>
    <n v="0"/>
    <n v="0"/>
  </r>
  <r>
    <x v="2"/>
    <x v="38"/>
    <s v="GEN"/>
    <x v="38"/>
    <n v="6719986.5491192602"/>
    <n v="29031.067652572001"/>
    <n v="124136.150000172"/>
    <n v="-7294.1604526170004"/>
    <n v="131498.70652199999"/>
    <n v="16685.735004858001"/>
    <n v="514405.13297138701"/>
    <n v="21926.976264925001"/>
    <n v="0"/>
    <n v="57.0396225"/>
    <n v="966.54369999999994"/>
    <n v="-4871.735687206"/>
    <n v="-27930.436251719999"/>
    <n v="3220.4166010489998"/>
    <n v="-384.240514937"/>
    <n v="0"/>
    <n v="0"/>
    <n v="36076.619307451001"/>
  </r>
  <r>
    <x v="0"/>
    <x v="3"/>
    <s v="GEN"/>
    <x v="3"/>
    <n v="0"/>
    <n v="111036.658604375"/>
    <n v="0"/>
    <n v="0"/>
    <n v="0"/>
    <n v="0"/>
    <n v="0"/>
    <n v="0"/>
    <n v="111534.043796575"/>
    <n v="0"/>
    <n v="0"/>
    <n v="-14.669991542"/>
    <n v="0"/>
    <n v="0"/>
    <n v="0"/>
    <n v="0"/>
    <n v="0"/>
    <n v="-482.71520065800001"/>
  </r>
  <r>
    <x v="2"/>
    <x v="39"/>
    <s v="GEN"/>
    <x v="39"/>
    <n v="4097124.35594839"/>
    <n v="173638.50664492801"/>
    <n v="85053.969999995999"/>
    <n v="-1096.0857417970001"/>
    <n v="90787.479000000007"/>
    <n v="7293.1972427600003"/>
    <n v="252458.498351071"/>
    <n v="153043.40304142499"/>
    <n v="0"/>
    <n v="0"/>
    <n v="0"/>
    <n v="-11334.428013069"/>
    <n v="-10429.655709455001"/>
    <n v="10291.715384517"/>
    <n v="-34.682600893"/>
    <n v="0"/>
    <n v="0"/>
    <n v="32104.614232417"/>
  </r>
  <r>
    <x v="3"/>
    <x v="40"/>
    <s v="GEN"/>
    <x v="40"/>
    <n v="1173359.6960351099"/>
    <n v="-635.47872694499995"/>
    <n v="23676.800000015999"/>
    <n v="3421.1929519360001"/>
    <n v="28735.812000000002"/>
    <n v="2672.5233423519999"/>
    <n v="30269.896094426"/>
    <n v="0"/>
    <n v="0"/>
    <n v="0"/>
    <n v="0"/>
    <n v="0"/>
    <n v="-394.90003190900001"/>
    <n v="0"/>
    <n v="-74.654616422999993"/>
    <n v="0"/>
    <n v="0"/>
    <n v="0"/>
  </r>
  <r>
    <x v="3"/>
    <x v="41"/>
    <s v="GEN"/>
    <x v="41"/>
    <n v="5801009.9553068997"/>
    <n v="-1397.4291064930001"/>
    <n v="161058.93999874801"/>
    <n v="-10090.632263187001"/>
    <n v="150364.98755379999"/>
    <n v="9695.8570224790001"/>
    <n v="566385.82741427503"/>
    <n v="0"/>
    <n v="0"/>
    <n v="0"/>
    <n v="0"/>
    <n v="0"/>
    <n v="470.47658123600002"/>
    <n v="0"/>
    <n v="-983.42503132800005"/>
    <n v="0"/>
    <n v="0"/>
    <n v="0"/>
  </r>
  <r>
    <x v="3"/>
    <x v="42"/>
    <s v="GEN"/>
    <x v="42"/>
    <n v="712051.48651977"/>
    <n v="-225.543006983"/>
    <n v="19110.399999996"/>
    <n v="-15.835102671"/>
    <n v="19048.615499832002"/>
    <n v="757.96123807100003"/>
    <n v="-640.58465585900001"/>
    <n v="0"/>
    <n v="0"/>
    <n v="0"/>
    <n v="0"/>
    <n v="0"/>
    <n v="-80.282972489000002"/>
    <n v="0"/>
    <n v="60.308891039000002"/>
    <n v="0"/>
    <n v="0"/>
    <n v="0"/>
  </r>
  <r>
    <x v="3"/>
    <x v="43"/>
    <s v="GEN"/>
    <x v="43"/>
    <n v="136994.43812383999"/>
    <n v="-62.720230911999998"/>
    <n v="2074.0000015199998"/>
    <n v="100.606288296"/>
    <n v="3603.462998772"/>
    <n v="1714.7602749350001"/>
    <n v="56762.328576460997"/>
    <n v="0"/>
    <n v="0"/>
    <n v="0"/>
    <n v="0"/>
    <n v="0"/>
    <n v="-6.134597383"/>
    <n v="0"/>
    <n v="-42.714858810999999"/>
    <n v="0"/>
    <n v="0"/>
    <n v="0"/>
  </r>
  <r>
    <x v="0"/>
    <x v="4"/>
    <s v="GEN"/>
    <x v="4"/>
    <n v="0"/>
    <n v="109006.908007743"/>
    <n v="0"/>
    <n v="0"/>
    <n v="0"/>
    <n v="0"/>
    <n v="0"/>
    <n v="0"/>
    <n v="111005.633007025"/>
    <n v="0"/>
    <n v="0"/>
    <n v="-18.647154508"/>
    <n v="0"/>
    <n v="0"/>
    <n v="0"/>
    <n v="0"/>
    <n v="0"/>
    <n v="-1980.0778447739999"/>
  </r>
  <r>
    <x v="0"/>
    <x v="5"/>
    <s v="GEN"/>
    <x v="5"/>
    <n v="260225.25569016501"/>
    <n v="51785.173375525002"/>
    <n v="1497.360000036"/>
    <n v="2731.571458379"/>
    <n v="4227.9775754000002"/>
    <n v="91.657727656999995"/>
    <n v="-3841.161917246"/>
    <n v="0"/>
    <n v="57001.0854865"/>
    <n v="0"/>
    <n v="0"/>
    <n v="-4443.8298888139998"/>
    <n v="-937.91139185099996"/>
    <n v="184.38307785000001"/>
    <n v="-9.9122093049999993"/>
    <n v="0"/>
    <n v="0"/>
    <n v="0"/>
  </r>
  <r>
    <x v="0"/>
    <x v="6"/>
    <s v="GEN"/>
    <x v="6"/>
    <n v="1079017.9167700401"/>
    <n v="148166.85406828899"/>
    <n v="18108.36000036"/>
    <n v="-1445.4010173470001"/>
    <n v="17068.402936999999"/>
    <n v="808.85713016900002"/>
    <n v="10582.88196984"/>
    <n v="136657.368142725"/>
    <n v="3.2690000000000001"/>
    <n v="0"/>
    <n v="0"/>
    <n v="-4468.7118000999999"/>
    <n v="-6175.0361108489997"/>
    <n v="14219.354757335001"/>
    <n v="-33.856619438999999"/>
    <n v="0"/>
    <n v="0"/>
    <n v="7996.157339499"/>
  </r>
  <r>
    <x v="0"/>
    <x v="7"/>
    <s v="GEN"/>
    <x v="7"/>
    <n v="121622.174354378"/>
    <n v="-27.615755737000001"/>
    <n v="1220.1099999959999"/>
    <n v="568.57666542699997"/>
    <n v="2003.8373723"/>
    <n v="246.441851945"/>
    <n v="7260.0183731850002"/>
    <n v="0"/>
    <n v="0"/>
    <n v="0"/>
    <n v="0"/>
    <n v="0"/>
    <n v="-290.82455778899998"/>
    <n v="270.47455227400002"/>
    <n v="-6.7401283879999996"/>
    <n v="0"/>
    <n v="0"/>
    <n v="0"/>
  </r>
  <r>
    <x v="0"/>
    <x v="8"/>
    <s v="GEN"/>
    <x v="8"/>
    <n v="126036.113332509"/>
    <n v="13420.383214109001"/>
    <n v="3165.120000552"/>
    <n v="-1995.58459064"/>
    <n v="1233.4836310999999"/>
    <n v="82.091046689999999"/>
    <n v="5049.9054442460001"/>
    <n v="9642.6290788499991"/>
    <n v="0"/>
    <n v="0"/>
    <n v="0"/>
    <n v="-1239.784340162"/>
    <n v="-519.02347007900005"/>
    <n v="293.25387624799998"/>
    <n v="-3.8725930179999999"/>
    <n v="0"/>
    <n v="0"/>
    <n v="5247.4779763670003"/>
  </r>
  <r>
    <x v="4"/>
    <x v="44"/>
    <m/>
    <x v="44"/>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errorCaption="0" showError="1" updatedVersion="4" minRefreshableVersion="3" useAutoFormatting="1" itemPrintTitles="1" createdVersion="4" indent="0" outline="1" outlineData="1" multipleFieldFilters="0">
  <location ref="A2:V51" firstHeaderRow="0" firstDataRow="1" firstDataCol="2"/>
  <pivotFields count="24">
    <pivotField axis="axisRow" showAll="0">
      <items count="6">
        <item x="0"/>
        <item x="1"/>
        <item x="2"/>
        <item h="1" x="4"/>
        <item x="3"/>
        <item t="default"/>
      </items>
    </pivotField>
    <pivotField axis="axisRow" outline="0" showAll="0">
      <items count="46">
        <item x="36"/>
        <item x="16"/>
        <item x="15"/>
        <item x="14"/>
        <item x="29"/>
        <item x="23"/>
        <item x="8"/>
        <item x="26"/>
        <item x="20"/>
        <item x="30"/>
        <item x="7"/>
        <item x="18"/>
        <item x="34"/>
        <item x="35"/>
        <item x="25"/>
        <item x="24"/>
        <item x="9"/>
        <item x="10"/>
        <item x="11"/>
        <item x="12"/>
        <item x="27"/>
        <item x="28"/>
        <item x="13"/>
        <item x="21"/>
        <item x="6"/>
        <item x="1"/>
        <item x="2"/>
        <item x="3"/>
        <item x="4"/>
        <item x="19"/>
        <item x="5"/>
        <item x="22"/>
        <item x="37"/>
        <item x="0"/>
        <item x="17"/>
        <item x="31"/>
        <item x="38"/>
        <item x="39"/>
        <item x="32"/>
        <item x="33"/>
        <item x="44"/>
        <item x="40"/>
        <item x="41"/>
        <item x="42"/>
        <item x="43"/>
        <item t="default"/>
      </items>
    </pivotField>
    <pivotField showAll="0"/>
    <pivotField axis="axisRow" outline="0" showAll="0" defaultSubtotal="0">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44"/>
        <item x="39"/>
        <item x="40"/>
        <item x="41"/>
        <item x="42"/>
        <item x="43"/>
      </items>
    </pivotField>
    <pivotField dataField="1" showAll="0"/>
    <pivotField dataField="1" showAll="0"/>
    <pivotField dataField="1" showAll="0" defaultSubtotal="0"/>
    <pivotField dataField="1" showAll="0" defaultSubtota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defaultSubtotal="0"/>
    <pivotField dataField="1" showAll="0"/>
    <pivotField dataField="1" showAll="0" defaultSubtotal="0"/>
    <pivotField dataField="1" showAll="0" defaultSubtotal="0"/>
    <pivotField dataField="1" dragToRow="0" dragToCol="0" dragToPage="0" showAll="0" defaultSubtotal="0"/>
    <pivotField dataField="1" dragToRow="0" dragToCol="0" dragToPage="0" showAll="0" defaultSubtotal="0"/>
  </pivotFields>
  <rowFields count="3">
    <field x="0"/>
    <field x="3"/>
    <field x="1"/>
  </rowFields>
  <rowItems count="49">
    <i>
      <x/>
    </i>
    <i r="1">
      <x/>
      <x v="33"/>
    </i>
    <i r="1">
      <x v="1"/>
      <x v="25"/>
    </i>
    <i r="1">
      <x v="2"/>
      <x v="26"/>
    </i>
    <i r="1">
      <x v="3"/>
      <x v="27"/>
    </i>
    <i r="1">
      <x v="4"/>
      <x v="28"/>
    </i>
    <i r="1">
      <x v="5"/>
      <x v="30"/>
    </i>
    <i r="1">
      <x v="6"/>
      <x v="24"/>
    </i>
    <i r="1">
      <x v="7"/>
      <x v="10"/>
    </i>
    <i r="1">
      <x v="8"/>
      <x v="6"/>
    </i>
    <i r="1">
      <x v="9"/>
      <x v="16"/>
    </i>
    <i r="1">
      <x v="10"/>
      <x v="17"/>
    </i>
    <i r="1">
      <x v="11"/>
      <x v="18"/>
    </i>
    <i r="1">
      <x v="12"/>
      <x v="19"/>
    </i>
    <i r="1">
      <x v="13"/>
      <x v="22"/>
    </i>
    <i r="1">
      <x v="14"/>
      <x v="3"/>
    </i>
    <i r="1">
      <x v="15"/>
      <x v="2"/>
    </i>
    <i r="1">
      <x v="16"/>
      <x v="1"/>
    </i>
    <i r="1">
      <x v="17"/>
      <x v="34"/>
    </i>
    <i r="1">
      <x v="18"/>
      <x v="11"/>
    </i>
    <i r="1">
      <x v="19"/>
      <x v="29"/>
    </i>
    <i r="1">
      <x v="20"/>
      <x v="8"/>
    </i>
    <i r="1">
      <x v="21"/>
      <x v="23"/>
    </i>
    <i r="1">
      <x v="22"/>
      <x v="31"/>
    </i>
    <i r="1">
      <x v="23"/>
      <x v="5"/>
    </i>
    <i r="1">
      <x v="24"/>
      <x v="15"/>
    </i>
    <i r="1">
      <x v="25"/>
      <x v="14"/>
    </i>
    <i r="1">
      <x v="26"/>
      <x v="7"/>
    </i>
    <i r="1">
      <x v="27"/>
      <x v="20"/>
    </i>
    <i r="1">
      <x v="28"/>
      <x v="21"/>
    </i>
    <i r="1">
      <x v="29"/>
      <x v="4"/>
    </i>
    <i r="1">
      <x v="30"/>
      <x v="9"/>
    </i>
    <i r="1">
      <x v="31"/>
      <x v="35"/>
    </i>
    <i r="1">
      <x v="32"/>
      <x v="38"/>
    </i>
    <i r="1">
      <x v="33"/>
      <x v="39"/>
    </i>
    <i r="1">
      <x v="34"/>
      <x v="12"/>
    </i>
    <i r="1">
      <x v="35"/>
      <x v="13"/>
    </i>
    <i r="1">
      <x v="36"/>
      <x/>
    </i>
    <i>
      <x v="1"/>
    </i>
    <i r="1">
      <x v="37"/>
      <x v="32"/>
    </i>
    <i>
      <x v="2"/>
    </i>
    <i r="1">
      <x v="38"/>
      <x v="36"/>
    </i>
    <i r="1">
      <x v="40"/>
      <x v="37"/>
    </i>
    <i>
      <x v="4"/>
    </i>
    <i r="1">
      <x v="41"/>
      <x v="41"/>
    </i>
    <i r="1">
      <x v="42"/>
      <x v="42"/>
    </i>
    <i r="1">
      <x v="43"/>
      <x v="43"/>
    </i>
    <i r="1">
      <x v="44"/>
      <x v="44"/>
    </i>
    <i t="grand">
      <x/>
    </i>
  </rowItems>
  <colFields count="1">
    <field x="-2"/>
  </colFields>
  <colItems count="20">
    <i>
      <x/>
    </i>
    <i i="1">
      <x v="1"/>
    </i>
    <i i="2">
      <x v="2"/>
    </i>
    <i i="3">
      <x v="3"/>
    </i>
    <i i="4">
      <x v="4"/>
    </i>
    <i i="5">
      <x v="5"/>
    </i>
    <i i="6">
      <x v="6"/>
    </i>
    <i i="7">
      <x v="7"/>
    </i>
    <i i="8">
      <x v="8"/>
    </i>
    <i i="9">
      <x v="9"/>
    </i>
    <i i="10">
      <x v="10"/>
    </i>
    <i i="11">
      <x v="11"/>
    </i>
    <i i="12">
      <x v="12"/>
    </i>
    <i i="13">
      <x v="13"/>
    </i>
    <i i="14">
      <x v="14"/>
    </i>
    <i i="15">
      <x v="15"/>
    </i>
    <i i="16">
      <x v="16"/>
    </i>
    <i i="17">
      <x v="17"/>
    </i>
    <i i="18">
      <x v="18"/>
    </i>
    <i i="19">
      <x v="19"/>
    </i>
  </colItems>
  <dataFields count="20">
    <dataField name="Sum of TOTAL_DA_MWH" fld="6" baseField="0" baseItem="0"/>
    <dataField name="Sum of TOTAL_RTM_MWH" fld="7" baseField="0" baseItem="0"/>
    <dataField name="Sum of TOTAL_OUTPUT_MWH" fld="8" baseField="0" baseItem="0" numFmtId="38"/>
    <dataField name="Sum of UNINSTRUCTED_MWH_GROSS" fld="9" baseField="0" baseItem="0" numFmtId="38"/>
    <dataField name="Sum of CC6475" fld="10" baseField="0" baseItem="0" numFmtId="6"/>
    <dataField name="Sum of UIE By Total Output" fld="22" baseField="0" baseItem="0" numFmtId="9"/>
    <dataField name="Sum of TOTAL_ENERGY_AMOUNT" fld="4" baseField="0" baseItem="0" numFmtId="6"/>
    <dataField name="Sum of CC6100_6170" fld="11" baseField="0" baseItem="0" numFmtId="6"/>
    <dataField name="Sum of CC6200_6270" fld="12" baseField="0" baseItem="0" numFmtId="6"/>
    <dataField name="Sum of CC6500_6570" fld="13" baseField="0" baseItem="0" numFmtId="6"/>
    <dataField name="Sum of CC6600_6670" fld="14" baseField="0" baseItem="0" numFmtId="6"/>
    <dataField name="Sum of No Pay Percentage ABS" fld="23" baseField="0" baseItem="0" numFmtId="9"/>
    <dataField name="Sum of NET_NO_PAY" fld="15" baseField="0" baseItem="0" numFmtId="6"/>
    <dataField name="Sum of CC7070" fld="16" baseField="0" baseItem="0" numFmtId="6"/>
    <dataField name="Sum of CC7071" fld="17" baseField="0" baseItem="0" numFmtId="6"/>
    <dataField name="Sum of CC7078" fld="18" baseField="0" baseItem="0" numFmtId="6"/>
    <dataField name="Sum of CC7081" fld="19" baseField="0" baseItem="0" numFmtId="6"/>
    <dataField name="Sum of CC7088" fld="20" baseField="1" baseItem="18"/>
    <dataField name="Sum of RAAIM" fld="21" baseField="1" baseItem="18"/>
    <dataField name="Sum of TOTAL_CAPACITY_AMOUNT" fld="5" baseField="0" baseItem="0" numFmtId="6"/>
  </dataFields>
  <formats count="14">
    <format dxfId="28">
      <pivotArea outline="0" collapsedLevelsAreSubtotals="1" fieldPosition="0">
        <references count="1">
          <reference field="4294967294" count="10" selected="0">
            <x v="6"/>
            <x v="7"/>
            <x v="8"/>
            <x v="9"/>
            <x v="10"/>
            <x v="12"/>
            <x v="13"/>
            <x v="14"/>
            <x v="16"/>
            <x v="19"/>
          </reference>
        </references>
      </pivotArea>
    </format>
    <format dxfId="27">
      <pivotArea dataOnly="0" labelOnly="1" outline="0" fieldPosition="0">
        <references count="1">
          <reference field="4294967294" count="10">
            <x v="6"/>
            <x v="7"/>
            <x v="8"/>
            <x v="9"/>
            <x v="10"/>
            <x v="12"/>
            <x v="13"/>
            <x v="14"/>
            <x v="16"/>
            <x v="19"/>
          </reference>
        </references>
      </pivotArea>
    </format>
    <format dxfId="26">
      <pivotArea outline="0" collapsedLevelsAreSubtotals="1" fieldPosition="0">
        <references count="1">
          <reference field="4294967294" count="1" selected="0">
            <x v="4"/>
          </reference>
        </references>
      </pivotArea>
    </format>
    <format dxfId="25">
      <pivotArea dataOnly="0" labelOnly="1" outline="0" fieldPosition="0">
        <references count="1">
          <reference field="4294967294" count="1">
            <x v="4"/>
          </reference>
        </references>
      </pivotArea>
    </format>
    <format dxfId="24">
      <pivotArea outline="0" collapsedLevelsAreSubtotals="1" fieldPosition="0">
        <references count="1">
          <reference field="4294967294" count="1" selected="0">
            <x v="3"/>
          </reference>
        </references>
      </pivotArea>
    </format>
    <format dxfId="23">
      <pivotArea dataOnly="0" labelOnly="1" outline="0" fieldPosition="0">
        <references count="1">
          <reference field="4294967294" count="1">
            <x v="3"/>
          </reference>
        </references>
      </pivotArea>
    </format>
    <format dxfId="22">
      <pivotArea outline="0" collapsedLevelsAreSubtotals="1" fieldPosition="0">
        <references count="1">
          <reference field="4294967294" count="1" selected="0">
            <x v="2"/>
          </reference>
        </references>
      </pivotArea>
    </format>
    <format dxfId="21">
      <pivotArea dataOnly="0" labelOnly="1" outline="0" fieldPosition="0">
        <references count="1">
          <reference field="4294967294" count="1">
            <x v="2"/>
          </reference>
        </references>
      </pivotArea>
    </format>
    <format dxfId="20">
      <pivotArea outline="0" collapsedLevelsAreSubtotals="1" fieldPosition="0">
        <references count="1">
          <reference field="4294967294" count="1" selected="0">
            <x v="15"/>
          </reference>
        </references>
      </pivotArea>
    </format>
    <format dxfId="19">
      <pivotArea dataOnly="0" labelOnly="1" outline="0" fieldPosition="0">
        <references count="1">
          <reference field="4294967294" count="1">
            <x v="15"/>
          </reference>
        </references>
      </pivotArea>
    </format>
    <format dxfId="18">
      <pivotArea outline="0" collapsedLevelsAreSubtotals="1" fieldPosition="0">
        <references count="1">
          <reference field="4294967294" count="1" selected="0">
            <x v="5"/>
          </reference>
        </references>
      </pivotArea>
    </format>
    <format dxfId="17">
      <pivotArea outline="0" collapsedLevelsAreSubtotals="1" fieldPosition="0">
        <references count="1">
          <reference field="4294967294" count="1" selected="0">
            <x v="11"/>
          </reference>
        </references>
      </pivotArea>
    </format>
    <format dxfId="16">
      <pivotArea dataOnly="0" labelOnly="1" outline="0" fieldPosition="0">
        <references count="1">
          <reference field="4294967294" count="1">
            <x v="0"/>
          </reference>
        </references>
      </pivotArea>
    </format>
    <format dxfId="1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156"/>
  <sheetViews>
    <sheetView showGridLines="0" tabSelected="1" zoomScale="80" zoomScaleNormal="80" zoomScaleSheetLayoutView="70" workbookViewId="0">
      <pane xSplit="3" ySplit="5" topLeftCell="D6" activePane="bottomRight" state="frozen"/>
      <selection pane="topRight" activeCell="D1" sqref="D1"/>
      <selection pane="bottomLeft" activeCell="A6" sqref="A6"/>
      <selection pane="bottomRight" activeCell="G4" sqref="G4:G5"/>
    </sheetView>
  </sheetViews>
  <sheetFormatPr defaultRowHeight="15" x14ac:dyDescent="0.25"/>
  <cols>
    <col min="1" max="1" width="6.5703125" style="26" customWidth="1"/>
    <col min="2" max="2" width="37.42578125" style="6" customWidth="1"/>
    <col min="3" max="3" width="11.42578125" style="26" customWidth="1"/>
    <col min="4" max="4" width="17.5703125" style="26" customWidth="1"/>
    <col min="5" max="5" width="18.5703125" style="26" customWidth="1"/>
    <col min="6" max="6" width="18.5703125" style="27" customWidth="1"/>
    <col min="7" max="7" width="18.28515625" style="28" customWidth="1"/>
    <col min="8" max="9" width="16.7109375" style="27" customWidth="1"/>
    <col min="10" max="10" width="18.28515625" style="28" customWidth="1"/>
    <col min="11" max="11" width="15.85546875" style="28" customWidth="1"/>
    <col min="12" max="12" width="17.5703125" style="28" customWidth="1"/>
    <col min="13" max="13" width="17.7109375" style="28" customWidth="1"/>
    <col min="14" max="14" width="22.28515625" style="28" customWidth="1"/>
    <col min="15" max="22" width="16.28515625" style="28" customWidth="1"/>
    <col min="23" max="23" width="18" style="28" customWidth="1"/>
    <col min="24" max="24" width="18.42578125" style="28" customWidth="1"/>
    <col min="25" max="25" width="6" style="28" bestFit="1" customWidth="1"/>
    <col min="26" max="26" width="5.42578125" style="26" customWidth="1"/>
    <col min="27" max="16384" width="9.140625" style="9"/>
  </cols>
  <sheetData>
    <row r="1" spans="1:26" ht="29.25" thickBot="1" x14ac:dyDescent="0.5">
      <c r="A1" s="139" t="s">
        <v>251</v>
      </c>
      <c r="B1" s="140"/>
      <c r="C1" s="140"/>
      <c r="D1" s="140"/>
      <c r="E1" s="140"/>
      <c r="F1" s="140"/>
      <c r="G1" s="140"/>
      <c r="H1" s="140"/>
      <c r="I1" s="140"/>
      <c r="J1" s="140"/>
      <c r="K1" s="140"/>
      <c r="L1" s="140"/>
      <c r="M1" s="140"/>
      <c r="N1" s="140"/>
      <c r="O1" s="140"/>
      <c r="P1" s="140"/>
      <c r="Q1" s="140"/>
      <c r="R1" s="140"/>
      <c r="S1" s="140"/>
      <c r="T1" s="140"/>
      <c r="U1" s="140"/>
      <c r="V1" s="140"/>
      <c r="W1" s="140"/>
      <c r="X1" s="140"/>
      <c r="Y1" s="141"/>
      <c r="Z1" s="9"/>
    </row>
    <row r="2" spans="1:26" s="13" customFormat="1" ht="15.75" thickBot="1" x14ac:dyDescent="0.3">
      <c r="A2" s="10"/>
      <c r="B2" s="161" t="s">
        <v>221</v>
      </c>
      <c r="C2" s="161"/>
      <c r="D2" s="106" t="s">
        <v>22</v>
      </c>
      <c r="E2" s="51" t="s">
        <v>23</v>
      </c>
      <c r="F2" s="52" t="s">
        <v>24</v>
      </c>
      <c r="G2" s="107" t="s">
        <v>25</v>
      </c>
      <c r="H2" s="108" t="s">
        <v>26</v>
      </c>
      <c r="I2" s="109" t="s">
        <v>27</v>
      </c>
      <c r="J2" s="52" t="s">
        <v>28</v>
      </c>
      <c r="K2" s="52" t="s">
        <v>29</v>
      </c>
      <c r="L2" s="52" t="s">
        <v>30</v>
      </c>
      <c r="M2" s="52" t="s">
        <v>60</v>
      </c>
      <c r="N2" s="52" t="s">
        <v>61</v>
      </c>
      <c r="O2" s="52" t="s">
        <v>62</v>
      </c>
      <c r="P2" s="52" t="s">
        <v>63</v>
      </c>
      <c r="Q2" s="52" t="s">
        <v>56</v>
      </c>
      <c r="R2" s="74" t="s">
        <v>64</v>
      </c>
      <c r="S2" s="53" t="s">
        <v>200</v>
      </c>
      <c r="T2" s="53" t="s">
        <v>220</v>
      </c>
      <c r="U2" s="53" t="s">
        <v>224</v>
      </c>
      <c r="V2" s="53" t="s">
        <v>234</v>
      </c>
      <c r="W2" s="53" t="s">
        <v>235</v>
      </c>
      <c r="X2" s="25" t="s">
        <v>236</v>
      </c>
      <c r="Y2" s="12"/>
    </row>
    <row r="3" spans="1:26" s="11" customFormat="1" ht="36" customHeight="1" thickBot="1" x14ac:dyDescent="0.3">
      <c r="A3" s="10"/>
      <c r="B3" s="142" t="s">
        <v>21</v>
      </c>
      <c r="C3" s="143"/>
      <c r="D3" s="175" t="s">
        <v>19</v>
      </c>
      <c r="E3" s="176"/>
      <c r="F3" s="176"/>
      <c r="G3" s="176"/>
      <c r="H3" s="176"/>
      <c r="I3" s="176"/>
      <c r="J3" s="177"/>
      <c r="K3" s="162" t="s">
        <v>20</v>
      </c>
      <c r="L3" s="163"/>
      <c r="M3" s="163"/>
      <c r="N3" s="163"/>
      <c r="O3" s="163"/>
      <c r="P3" s="163"/>
      <c r="Q3" s="163"/>
      <c r="R3" s="163"/>
      <c r="S3" s="163"/>
      <c r="T3" s="163"/>
      <c r="U3" s="163"/>
      <c r="V3" s="163"/>
      <c r="W3" s="164"/>
      <c r="X3" s="49" t="s">
        <v>58</v>
      </c>
      <c r="Y3" s="10"/>
    </row>
    <row r="4" spans="1:26" s="13" customFormat="1" ht="42.75" customHeight="1" thickBot="1" x14ac:dyDescent="0.3">
      <c r="A4" s="50"/>
      <c r="B4" s="198" t="s">
        <v>31</v>
      </c>
      <c r="C4" s="200" t="s">
        <v>32</v>
      </c>
      <c r="D4" s="173" t="s">
        <v>237</v>
      </c>
      <c r="E4" s="178" t="s">
        <v>238</v>
      </c>
      <c r="F4" s="178" t="s">
        <v>74</v>
      </c>
      <c r="G4" s="178" t="s">
        <v>6</v>
      </c>
      <c r="H4" s="190" t="s">
        <v>5</v>
      </c>
      <c r="I4" s="173" t="s">
        <v>223</v>
      </c>
      <c r="J4" s="144" t="s">
        <v>73</v>
      </c>
      <c r="K4" s="146" t="s">
        <v>229</v>
      </c>
      <c r="L4" s="153" t="s">
        <v>230</v>
      </c>
      <c r="M4" s="153" t="s">
        <v>231</v>
      </c>
      <c r="N4" s="153" t="s">
        <v>232</v>
      </c>
      <c r="O4" s="153" t="s">
        <v>219</v>
      </c>
      <c r="P4" s="153" t="s">
        <v>182</v>
      </c>
      <c r="Q4" s="148" t="s">
        <v>195</v>
      </c>
      <c r="R4" s="157" t="s">
        <v>196</v>
      </c>
      <c r="S4" s="158"/>
      <c r="T4" s="159" t="s">
        <v>197</v>
      </c>
      <c r="U4" s="160"/>
      <c r="V4" s="155" t="s">
        <v>190</v>
      </c>
      <c r="W4" s="150" t="s">
        <v>71</v>
      </c>
      <c r="X4" s="152" t="s">
        <v>70</v>
      </c>
      <c r="Y4" s="12"/>
    </row>
    <row r="5" spans="1:26" s="15" customFormat="1" ht="72.75" customHeight="1" x14ac:dyDescent="0.25">
      <c r="A5" s="54"/>
      <c r="B5" s="199"/>
      <c r="C5" s="201"/>
      <c r="D5" s="174"/>
      <c r="E5" s="179"/>
      <c r="F5" s="179"/>
      <c r="G5" s="179"/>
      <c r="H5" s="191"/>
      <c r="I5" s="174"/>
      <c r="J5" s="145"/>
      <c r="K5" s="147"/>
      <c r="L5" s="154"/>
      <c r="M5" s="154"/>
      <c r="N5" s="154"/>
      <c r="O5" s="154"/>
      <c r="P5" s="154"/>
      <c r="Q5" s="149"/>
      <c r="R5" s="85" t="s">
        <v>198</v>
      </c>
      <c r="S5" s="85" t="s">
        <v>199</v>
      </c>
      <c r="T5" s="86" t="s">
        <v>198</v>
      </c>
      <c r="U5" s="87" t="s">
        <v>199</v>
      </c>
      <c r="V5" s="156"/>
      <c r="W5" s="151"/>
      <c r="X5" s="152"/>
      <c r="Y5" s="14"/>
    </row>
    <row r="6" spans="1:26" s="17" customFormat="1" x14ac:dyDescent="0.25">
      <c r="A6" s="16">
        <v>1</v>
      </c>
      <c r="B6" s="187" t="s">
        <v>178</v>
      </c>
      <c r="C6" s="188"/>
      <c r="D6" s="34">
        <v>363742.53000837599</v>
      </c>
      <c r="E6" s="34">
        <v>-63403.103587706013</v>
      </c>
      <c r="F6" s="34">
        <v>309910.81097350002</v>
      </c>
      <c r="G6" s="62">
        <v>16274.321952132997</v>
      </c>
      <c r="H6" s="21">
        <v>465360.01224381401</v>
      </c>
      <c r="I6" s="99">
        <v>5.2512921059486982E-2</v>
      </c>
      <c r="J6" s="67">
        <v>16363948.988940366</v>
      </c>
      <c r="K6" s="21">
        <v>426472.13008659997</v>
      </c>
      <c r="L6" s="21">
        <v>516912.07464367501</v>
      </c>
      <c r="M6" s="21">
        <v>12219.045980299999</v>
      </c>
      <c r="N6" s="21">
        <v>686.22420460000001</v>
      </c>
      <c r="O6" s="95">
        <v>4.5922279669116259E-2</v>
      </c>
      <c r="P6" s="21">
        <v>-43914.992711687002</v>
      </c>
      <c r="Q6" s="21">
        <v>-30575.007195616006</v>
      </c>
      <c r="R6" s="21">
        <v>26336.32995393399</v>
      </c>
      <c r="S6" s="21">
        <v>-767.24570980900012</v>
      </c>
      <c r="T6" s="21">
        <v>0</v>
      </c>
      <c r="U6" s="21">
        <v>0</v>
      </c>
      <c r="V6" s="21">
        <v>55078.523048118004</v>
      </c>
      <c r="W6" s="66">
        <v>962022.44469616609</v>
      </c>
      <c r="X6" s="59">
        <f>W6+J6</f>
        <v>17325971.433636531</v>
      </c>
      <c r="Y6" s="16">
        <v>1</v>
      </c>
    </row>
    <row r="7" spans="1:26" s="13" customFormat="1" x14ac:dyDescent="0.25">
      <c r="A7" s="18">
        <v>2</v>
      </c>
      <c r="B7" s="55" t="s">
        <v>165</v>
      </c>
      <c r="C7" s="103">
        <f>VLOOKUP(B7,'CUG List'!B:F,5,FALSE)</f>
        <v>401</v>
      </c>
      <c r="D7" s="32">
        <v>109509.62000114399</v>
      </c>
      <c r="E7" s="32">
        <v>-49053.006048160998</v>
      </c>
      <c r="F7" s="32">
        <v>61213.938391299998</v>
      </c>
      <c r="G7" s="20">
        <v>2090.3062394620001</v>
      </c>
      <c r="H7" s="19">
        <v>74976.129898622996</v>
      </c>
      <c r="I7" s="100">
        <v>3.4147553553899153E-2</v>
      </c>
      <c r="J7" s="69">
        <v>3772479.7456578198</v>
      </c>
      <c r="K7" s="19">
        <v>18423.362223525</v>
      </c>
      <c r="L7" s="19">
        <v>0</v>
      </c>
      <c r="M7" s="19">
        <v>0</v>
      </c>
      <c r="N7" s="19">
        <v>0</v>
      </c>
      <c r="O7" s="96">
        <v>8.7361534690167456E-2</v>
      </c>
      <c r="P7" s="19">
        <v>-1609.4931979999999</v>
      </c>
      <c r="Q7" s="19">
        <v>-2028.053956704</v>
      </c>
      <c r="R7" s="19">
        <v>1094.8733057960001</v>
      </c>
      <c r="S7" s="19">
        <v>-47.033514340000004</v>
      </c>
      <c r="T7" s="19">
        <v>0</v>
      </c>
      <c r="U7" s="19">
        <v>0</v>
      </c>
      <c r="V7" s="19">
        <v>0</v>
      </c>
      <c r="W7" s="63">
        <v>15772.87205577</v>
      </c>
      <c r="X7" s="58">
        <f>W7+J7</f>
        <v>3788252.6177135897</v>
      </c>
      <c r="Y7" s="18">
        <v>2</v>
      </c>
    </row>
    <row r="8" spans="1:26" s="13" customFormat="1" x14ac:dyDescent="0.25">
      <c r="A8" s="18">
        <v>3</v>
      </c>
      <c r="B8" s="55" t="s">
        <v>146</v>
      </c>
      <c r="C8" s="103">
        <f>VLOOKUP(B8,'CUG List'!B:F,5,FALSE)</f>
        <v>204.2</v>
      </c>
      <c r="D8" s="32">
        <v>0</v>
      </c>
      <c r="E8" s="32">
        <v>1822.724347223</v>
      </c>
      <c r="F8" s="32">
        <v>1839.7832082</v>
      </c>
      <c r="G8" s="20">
        <v>28.798821418999999</v>
      </c>
      <c r="H8" s="19">
        <v>488.54453230199999</v>
      </c>
      <c r="I8" s="100">
        <v>1.5653377686372125E-2</v>
      </c>
      <c r="J8" s="69">
        <v>105900.33265907899</v>
      </c>
      <c r="K8" s="19">
        <v>0.315</v>
      </c>
      <c r="L8" s="19">
        <v>118931.398994125</v>
      </c>
      <c r="M8" s="19">
        <v>0</v>
      </c>
      <c r="N8" s="19">
        <v>0</v>
      </c>
      <c r="O8" s="96">
        <v>5.1912346492416516E-4</v>
      </c>
      <c r="P8" s="19">
        <v>-61.740243458000002</v>
      </c>
      <c r="Q8" s="19">
        <v>0</v>
      </c>
      <c r="R8" s="19">
        <v>0</v>
      </c>
      <c r="S8" s="19">
        <v>-2.7281408310000002</v>
      </c>
      <c r="T8" s="19">
        <v>0</v>
      </c>
      <c r="U8" s="19">
        <v>0</v>
      </c>
      <c r="V8" s="19">
        <v>0</v>
      </c>
      <c r="W8" s="63">
        <v>118867.245609836</v>
      </c>
      <c r="X8" s="58">
        <f t="shared" ref="X8:X43" si="0">W8+J8</f>
        <v>224767.57826891501</v>
      </c>
      <c r="Y8" s="18">
        <v>3</v>
      </c>
    </row>
    <row r="9" spans="1:26" s="13" customFormat="1" x14ac:dyDescent="0.25">
      <c r="A9" s="18">
        <v>4</v>
      </c>
      <c r="B9" s="55" t="s">
        <v>147</v>
      </c>
      <c r="C9" s="103">
        <f>VLOOKUP(B9,'CUG List'!B:F,5,FALSE)</f>
        <v>202.7</v>
      </c>
      <c r="D9" s="32">
        <v>0</v>
      </c>
      <c r="E9" s="32">
        <v>1820.5651736120001</v>
      </c>
      <c r="F9" s="32">
        <v>1840.6887872</v>
      </c>
      <c r="G9" s="20">
        <v>30.165060403999998</v>
      </c>
      <c r="H9" s="19">
        <v>577.33110967699997</v>
      </c>
      <c r="I9" s="100">
        <v>1.638791989920587E-2</v>
      </c>
      <c r="J9" s="69">
        <v>105934.21134522</v>
      </c>
      <c r="K9" s="19">
        <v>0</v>
      </c>
      <c r="L9" s="19">
        <v>117460.79434515</v>
      </c>
      <c r="M9" s="19">
        <v>0</v>
      </c>
      <c r="N9" s="19">
        <v>0</v>
      </c>
      <c r="O9" s="96">
        <v>1.1262554146217753E-3</v>
      </c>
      <c r="P9" s="19">
        <v>-132.29085563699999</v>
      </c>
      <c r="Q9" s="19">
        <v>0</v>
      </c>
      <c r="R9" s="19">
        <v>0</v>
      </c>
      <c r="S9" s="19">
        <v>-2.3300789900000001</v>
      </c>
      <c r="T9" s="19">
        <v>0</v>
      </c>
      <c r="U9" s="19">
        <v>0</v>
      </c>
      <c r="V9" s="19">
        <v>0</v>
      </c>
      <c r="W9" s="63">
        <v>117326.173410523</v>
      </c>
      <c r="X9" s="58">
        <f t="shared" si="0"/>
        <v>223260.384755743</v>
      </c>
      <c r="Y9" s="18">
        <v>4</v>
      </c>
    </row>
    <row r="10" spans="1:26" s="13" customFormat="1" x14ac:dyDescent="0.25">
      <c r="A10" s="18">
        <v>5</v>
      </c>
      <c r="B10" s="55" t="s">
        <v>148</v>
      </c>
      <c r="C10" s="103">
        <f>VLOOKUP(B10,'CUG List'!B:F,5,FALSE)</f>
        <v>208.96</v>
      </c>
      <c r="D10" s="32">
        <v>0</v>
      </c>
      <c r="E10" s="32">
        <v>0</v>
      </c>
      <c r="F10" s="32">
        <v>0</v>
      </c>
      <c r="G10" s="20">
        <v>0</v>
      </c>
      <c r="H10" s="19">
        <v>0</v>
      </c>
      <c r="I10" s="100">
        <v>0</v>
      </c>
      <c r="J10" s="69">
        <v>0</v>
      </c>
      <c r="K10" s="19">
        <v>0</v>
      </c>
      <c r="L10" s="19">
        <v>111534.043796575</v>
      </c>
      <c r="M10" s="19">
        <v>0</v>
      </c>
      <c r="N10" s="19">
        <v>0</v>
      </c>
      <c r="O10" s="96">
        <v>1.315292716254092E-4</v>
      </c>
      <c r="P10" s="19">
        <v>-14.669991542</v>
      </c>
      <c r="Q10" s="19">
        <v>0</v>
      </c>
      <c r="R10" s="19">
        <v>0</v>
      </c>
      <c r="S10" s="19">
        <v>0</v>
      </c>
      <c r="T10" s="19">
        <v>0</v>
      </c>
      <c r="U10" s="19">
        <v>0</v>
      </c>
      <c r="V10" s="19">
        <v>-482.71520065800001</v>
      </c>
      <c r="W10" s="63">
        <v>111036.658604375</v>
      </c>
      <c r="X10" s="58">
        <f t="shared" si="0"/>
        <v>111036.658604375</v>
      </c>
      <c r="Y10" s="18">
        <v>5</v>
      </c>
    </row>
    <row r="11" spans="1:26" s="13" customFormat="1" x14ac:dyDescent="0.25">
      <c r="A11" s="18">
        <v>6</v>
      </c>
      <c r="B11" s="55" t="s">
        <v>149</v>
      </c>
      <c r="C11" s="103">
        <f>VLOOKUP(B11,'CUG List'!B:F,5,FALSE)</f>
        <v>204.29</v>
      </c>
      <c r="D11" s="32">
        <v>0</v>
      </c>
      <c r="E11" s="32">
        <v>0</v>
      </c>
      <c r="F11" s="32">
        <v>0</v>
      </c>
      <c r="G11" s="20">
        <v>0</v>
      </c>
      <c r="H11" s="19">
        <v>0</v>
      </c>
      <c r="I11" s="100">
        <v>0</v>
      </c>
      <c r="J11" s="69">
        <v>0</v>
      </c>
      <c r="K11" s="19">
        <v>0</v>
      </c>
      <c r="L11" s="19">
        <v>111005.633007025</v>
      </c>
      <c r="M11" s="19">
        <v>0</v>
      </c>
      <c r="N11" s="19">
        <v>0</v>
      </c>
      <c r="O11" s="96">
        <v>1.6798385814186488E-4</v>
      </c>
      <c r="P11" s="19">
        <v>-18.647154508</v>
      </c>
      <c r="Q11" s="19">
        <v>0</v>
      </c>
      <c r="R11" s="19">
        <v>0</v>
      </c>
      <c r="S11" s="19">
        <v>0</v>
      </c>
      <c r="T11" s="19">
        <v>0</v>
      </c>
      <c r="U11" s="19">
        <v>0</v>
      </c>
      <c r="V11" s="19">
        <v>-1980.0778447739999</v>
      </c>
      <c r="W11" s="63">
        <v>109006.908007743</v>
      </c>
      <c r="X11" s="58">
        <f t="shared" si="0"/>
        <v>109006.908007743</v>
      </c>
      <c r="Y11" s="18">
        <v>6</v>
      </c>
    </row>
    <row r="12" spans="1:26" s="13" customFormat="1" x14ac:dyDescent="0.25">
      <c r="A12" s="18">
        <v>7</v>
      </c>
      <c r="B12" s="55" t="s">
        <v>166</v>
      </c>
      <c r="C12" s="103">
        <f>VLOOKUP(B12,'CUG List'!B:F,5,FALSE)</f>
        <v>248</v>
      </c>
      <c r="D12" s="32">
        <v>1497.360000036</v>
      </c>
      <c r="E12" s="32">
        <v>2731.571458379</v>
      </c>
      <c r="F12" s="32">
        <v>4227.9775754000002</v>
      </c>
      <c r="G12" s="20">
        <v>91.657727656999995</v>
      </c>
      <c r="H12" s="19">
        <v>-3841.161917246</v>
      </c>
      <c r="I12" s="100">
        <v>2.1678858513890877E-2</v>
      </c>
      <c r="J12" s="69">
        <v>260225.25569016501</v>
      </c>
      <c r="K12" s="19">
        <v>0</v>
      </c>
      <c r="L12" s="19">
        <v>57001.0854865</v>
      </c>
      <c r="M12" s="19">
        <v>0</v>
      </c>
      <c r="N12" s="19">
        <v>0</v>
      </c>
      <c r="O12" s="96">
        <v>7.7960443224655188E-2</v>
      </c>
      <c r="P12" s="19">
        <v>-4443.8298888139998</v>
      </c>
      <c r="Q12" s="19">
        <v>-937.91139185099996</v>
      </c>
      <c r="R12" s="19">
        <v>184.38307785000001</v>
      </c>
      <c r="S12" s="19">
        <v>-9.9122093049999993</v>
      </c>
      <c r="T12" s="19">
        <v>0</v>
      </c>
      <c r="U12" s="19">
        <v>0</v>
      </c>
      <c r="V12" s="19">
        <v>0</v>
      </c>
      <c r="W12" s="63">
        <v>51785.173375525002</v>
      </c>
      <c r="X12" s="58">
        <f t="shared" si="0"/>
        <v>312010.42906569003</v>
      </c>
      <c r="Y12" s="18">
        <v>7</v>
      </c>
    </row>
    <row r="13" spans="1:26" s="13" customFormat="1" x14ac:dyDescent="0.25">
      <c r="A13" s="18">
        <v>8</v>
      </c>
      <c r="B13" s="57" t="s">
        <v>163</v>
      </c>
      <c r="C13" s="103">
        <f>VLOOKUP(B13,'CUG List'!B:F,5,FALSE)</f>
        <v>198.03</v>
      </c>
      <c r="D13" s="32">
        <v>18108.36000036</v>
      </c>
      <c r="E13" s="32">
        <v>-1445.4010173470001</v>
      </c>
      <c r="F13" s="32">
        <v>17068.402936999999</v>
      </c>
      <c r="G13" s="20">
        <v>808.85713016900002</v>
      </c>
      <c r="H13" s="19">
        <v>10582.88196984</v>
      </c>
      <c r="I13" s="100">
        <v>4.7389151354963709E-2</v>
      </c>
      <c r="J13" s="69">
        <v>1079017.9167700401</v>
      </c>
      <c r="K13" s="19">
        <v>136657.368142725</v>
      </c>
      <c r="L13" s="19">
        <v>3.2690000000000001</v>
      </c>
      <c r="M13" s="19">
        <v>0</v>
      </c>
      <c r="N13" s="19">
        <v>0</v>
      </c>
      <c r="O13" s="96">
        <v>3.2699333864754251E-2</v>
      </c>
      <c r="P13" s="19">
        <v>-4468.7118000999999</v>
      </c>
      <c r="Q13" s="19">
        <v>-6175.0361108489997</v>
      </c>
      <c r="R13" s="19">
        <v>14219.354757335001</v>
      </c>
      <c r="S13" s="19">
        <v>-33.856619438999999</v>
      </c>
      <c r="T13" s="19">
        <v>0</v>
      </c>
      <c r="U13" s="19">
        <v>0</v>
      </c>
      <c r="V13" s="19">
        <v>7996.157339499</v>
      </c>
      <c r="W13" s="63">
        <v>148166.85406828899</v>
      </c>
      <c r="X13" s="58">
        <f t="shared" si="0"/>
        <v>1227184.7708383291</v>
      </c>
      <c r="Y13" s="18">
        <v>8</v>
      </c>
    </row>
    <row r="14" spans="1:26" s="13" customFormat="1" x14ac:dyDescent="0.25">
      <c r="A14" s="18">
        <v>9</v>
      </c>
      <c r="B14" s="56" t="s">
        <v>134</v>
      </c>
      <c r="C14" s="103">
        <f>VLOOKUP(B14,'CUG List'!B:F,5,FALSE)</f>
        <v>49.2</v>
      </c>
      <c r="D14" s="32">
        <v>1220.1099999959999</v>
      </c>
      <c r="E14" s="32">
        <v>568.57666542699997</v>
      </c>
      <c r="F14" s="32">
        <v>2003.8373723</v>
      </c>
      <c r="G14" s="20">
        <v>246.441851945</v>
      </c>
      <c r="H14" s="19">
        <v>7260.0183731850002</v>
      </c>
      <c r="I14" s="100">
        <v>0.12298495643992037</v>
      </c>
      <c r="J14" s="69">
        <v>121622.174354378</v>
      </c>
      <c r="K14" s="19">
        <v>0</v>
      </c>
      <c r="L14" s="19">
        <v>0</v>
      </c>
      <c r="M14" s="19">
        <v>0</v>
      </c>
      <c r="N14" s="19">
        <v>0</v>
      </c>
      <c r="O14" s="96">
        <v>0</v>
      </c>
      <c r="P14" s="19">
        <v>0</v>
      </c>
      <c r="Q14" s="19">
        <v>-290.82455778899998</v>
      </c>
      <c r="R14" s="19">
        <v>270.47455227400002</v>
      </c>
      <c r="S14" s="19">
        <v>-6.7401283879999996</v>
      </c>
      <c r="T14" s="19">
        <v>0</v>
      </c>
      <c r="U14" s="19">
        <v>0</v>
      </c>
      <c r="V14" s="19">
        <v>0</v>
      </c>
      <c r="W14" s="63">
        <v>-27.615755737000001</v>
      </c>
      <c r="X14" s="58">
        <f t="shared" si="0"/>
        <v>121594.558598641</v>
      </c>
      <c r="Y14" s="18">
        <v>9</v>
      </c>
    </row>
    <row r="15" spans="1:26" s="13" customFormat="1" x14ac:dyDescent="0.25">
      <c r="A15" s="18">
        <v>10</v>
      </c>
      <c r="B15" s="55" t="s">
        <v>133</v>
      </c>
      <c r="C15" s="103">
        <f>VLOOKUP(B15,'CUG List'!B:F,5,FALSE)</f>
        <v>46.3</v>
      </c>
      <c r="D15" s="32">
        <v>3165.120000552</v>
      </c>
      <c r="E15" s="32">
        <v>-1995.58459064</v>
      </c>
      <c r="F15" s="32">
        <v>1233.4836310999999</v>
      </c>
      <c r="G15" s="20">
        <v>82.091046689999999</v>
      </c>
      <c r="H15" s="19">
        <v>5049.9054442460001</v>
      </c>
      <c r="I15" s="100">
        <v>6.6552197872940227E-2</v>
      </c>
      <c r="J15" s="69">
        <v>126036.113332509</v>
      </c>
      <c r="K15" s="19">
        <v>9642.6290788499991</v>
      </c>
      <c r="L15" s="19">
        <v>0</v>
      </c>
      <c r="M15" s="19">
        <v>0</v>
      </c>
      <c r="N15" s="19">
        <v>0</v>
      </c>
      <c r="O15" s="96">
        <v>0.12857326876560302</v>
      </c>
      <c r="P15" s="19">
        <v>-1239.784340162</v>
      </c>
      <c r="Q15" s="19">
        <v>-519.02347007900005</v>
      </c>
      <c r="R15" s="19">
        <v>293.25387624799998</v>
      </c>
      <c r="S15" s="19">
        <v>-3.8725930179999999</v>
      </c>
      <c r="T15" s="19">
        <v>0</v>
      </c>
      <c r="U15" s="19">
        <v>0</v>
      </c>
      <c r="V15" s="19">
        <v>5247.4779763670003</v>
      </c>
      <c r="W15" s="63">
        <v>13420.383214109001</v>
      </c>
      <c r="X15" s="58">
        <f t="shared" si="0"/>
        <v>139456.496546618</v>
      </c>
      <c r="Y15" s="18">
        <v>10</v>
      </c>
    </row>
    <row r="16" spans="1:26" s="13" customFormat="1" x14ac:dyDescent="0.25">
      <c r="A16" s="18">
        <v>11</v>
      </c>
      <c r="B16" s="55" t="s">
        <v>151</v>
      </c>
      <c r="C16" s="103">
        <f>VLOOKUP(B16,'CUG List'!B:F,5,FALSE)</f>
        <v>78</v>
      </c>
      <c r="D16" s="32">
        <v>3082.600000248</v>
      </c>
      <c r="E16" s="32">
        <v>196.748345476</v>
      </c>
      <c r="F16" s="32">
        <v>3853.4592296999999</v>
      </c>
      <c r="G16" s="20">
        <v>702.234249998</v>
      </c>
      <c r="H16" s="19">
        <v>22219.333460556001</v>
      </c>
      <c r="I16" s="100">
        <v>0.18223476833117302</v>
      </c>
      <c r="J16" s="69">
        <v>221042.44427356499</v>
      </c>
      <c r="K16" s="19">
        <v>3158.236418</v>
      </c>
      <c r="L16" s="19">
        <v>0</v>
      </c>
      <c r="M16" s="19">
        <v>2721.337685425</v>
      </c>
      <c r="N16" s="19">
        <v>13.298999999999999</v>
      </c>
      <c r="O16" s="96">
        <v>0.6877311225106002</v>
      </c>
      <c r="P16" s="19">
        <v>-4052.7122342309999</v>
      </c>
      <c r="Q16" s="19">
        <v>-1091.6025042220001</v>
      </c>
      <c r="R16" s="19">
        <v>192.78937725200001</v>
      </c>
      <c r="S16" s="19">
        <v>-24.015200567000001</v>
      </c>
      <c r="T16" s="19">
        <v>0</v>
      </c>
      <c r="U16" s="19">
        <v>0</v>
      </c>
      <c r="V16" s="19">
        <v>0</v>
      </c>
      <c r="W16" s="63">
        <v>911.29887243200005</v>
      </c>
      <c r="X16" s="58">
        <f t="shared" si="0"/>
        <v>221953.743145997</v>
      </c>
      <c r="Y16" s="18">
        <v>11</v>
      </c>
    </row>
    <row r="17" spans="1:25" s="13" customFormat="1" x14ac:dyDescent="0.25">
      <c r="A17" s="18">
        <v>12</v>
      </c>
      <c r="B17" s="57" t="s">
        <v>152</v>
      </c>
      <c r="C17" s="103">
        <f>VLOOKUP(B17,'CUG List'!B:F,5,FALSE)</f>
        <v>78.11</v>
      </c>
      <c r="D17" s="32">
        <v>2322.300000144</v>
      </c>
      <c r="E17" s="32">
        <v>169.287499978</v>
      </c>
      <c r="F17" s="32">
        <v>2864.0233364000001</v>
      </c>
      <c r="G17" s="20">
        <v>943.442863096</v>
      </c>
      <c r="H17" s="19">
        <v>11992.310157628999</v>
      </c>
      <c r="I17" s="100">
        <v>0.32941172339813479</v>
      </c>
      <c r="J17" s="69">
        <v>172661.85268987401</v>
      </c>
      <c r="K17" s="19">
        <v>3303.723794</v>
      </c>
      <c r="L17" s="19">
        <v>0</v>
      </c>
      <c r="M17" s="19">
        <v>0</v>
      </c>
      <c r="N17" s="19">
        <v>0</v>
      </c>
      <c r="O17" s="96">
        <v>0.66784523825056785</v>
      </c>
      <c r="P17" s="19">
        <v>-2206.376204318</v>
      </c>
      <c r="Q17" s="19">
        <v>-732.83891230200004</v>
      </c>
      <c r="R17" s="19">
        <v>70.114194999000006</v>
      </c>
      <c r="S17" s="19">
        <v>1.723111077</v>
      </c>
      <c r="T17" s="19">
        <v>0</v>
      </c>
      <c r="U17" s="19">
        <v>0</v>
      </c>
      <c r="V17" s="19">
        <v>0</v>
      </c>
      <c r="W17" s="63">
        <v>300.69999323799999</v>
      </c>
      <c r="X17" s="58">
        <f t="shared" si="0"/>
        <v>172962.55268311201</v>
      </c>
      <c r="Y17" s="18">
        <v>12</v>
      </c>
    </row>
    <row r="18" spans="1:25" s="13" customFormat="1" x14ac:dyDescent="0.25">
      <c r="A18" s="18">
        <v>13</v>
      </c>
      <c r="B18" s="57" t="s">
        <v>153</v>
      </c>
      <c r="C18" s="103">
        <f>VLOOKUP(B18,'CUG List'!B:F,5,FALSE)</f>
        <v>81.41</v>
      </c>
      <c r="D18" s="32">
        <v>4169.6500002120001</v>
      </c>
      <c r="E18" s="32">
        <v>174.94932458900001</v>
      </c>
      <c r="F18" s="32">
        <v>4595.7628428999997</v>
      </c>
      <c r="G18" s="20">
        <v>379.33703884400001</v>
      </c>
      <c r="H18" s="19">
        <v>20939.358295776001</v>
      </c>
      <c r="I18" s="100">
        <v>8.2540603553997199E-2</v>
      </c>
      <c r="J18" s="69">
        <v>282569.03667302598</v>
      </c>
      <c r="K18" s="19">
        <v>7044.0990938000004</v>
      </c>
      <c r="L18" s="19">
        <v>0</v>
      </c>
      <c r="M18" s="19">
        <v>0</v>
      </c>
      <c r="N18" s="19">
        <v>0</v>
      </c>
      <c r="O18" s="96">
        <v>0.51422556633256311</v>
      </c>
      <c r="P18" s="19">
        <v>-3622.2558458120002</v>
      </c>
      <c r="Q18" s="19">
        <v>-1005.029423883</v>
      </c>
      <c r="R18" s="19">
        <v>121.585031499</v>
      </c>
      <c r="S18" s="19">
        <v>-29.71162301</v>
      </c>
      <c r="T18" s="19">
        <v>0</v>
      </c>
      <c r="U18" s="19">
        <v>0</v>
      </c>
      <c r="V18" s="19">
        <v>0</v>
      </c>
      <c r="W18" s="63">
        <v>2508.380502729</v>
      </c>
      <c r="X18" s="58">
        <f t="shared" si="0"/>
        <v>285077.41717575496</v>
      </c>
      <c r="Y18" s="18">
        <v>13</v>
      </c>
    </row>
    <row r="19" spans="1:25" s="13" customFormat="1" x14ac:dyDescent="0.25">
      <c r="A19" s="18">
        <v>14</v>
      </c>
      <c r="B19" s="56" t="s">
        <v>154</v>
      </c>
      <c r="C19" s="103">
        <f>VLOOKUP(B19,'CUG List'!B:F,5,FALSE)</f>
        <v>81.44</v>
      </c>
      <c r="D19" s="32">
        <v>53745.100000295999</v>
      </c>
      <c r="E19" s="32">
        <v>25.974718359000001</v>
      </c>
      <c r="F19" s="32">
        <v>53841.949093000003</v>
      </c>
      <c r="G19" s="20">
        <v>512.69378062999999</v>
      </c>
      <c r="H19" s="19">
        <v>886.05300600500004</v>
      </c>
      <c r="I19" s="100">
        <v>9.5221994980983216E-3</v>
      </c>
      <c r="J19" s="69">
        <v>1923759.72931868</v>
      </c>
      <c r="K19" s="19">
        <v>0</v>
      </c>
      <c r="L19" s="19">
        <v>0</v>
      </c>
      <c r="M19" s="19">
        <v>0</v>
      </c>
      <c r="N19" s="19">
        <v>0</v>
      </c>
      <c r="O19" s="96">
        <v>0</v>
      </c>
      <c r="P19" s="19">
        <v>0</v>
      </c>
      <c r="Q19" s="19">
        <v>62.252754701999997</v>
      </c>
      <c r="R19" s="19">
        <v>0</v>
      </c>
      <c r="S19" s="19">
        <v>-57.936900854000001</v>
      </c>
      <c r="T19" s="19">
        <v>0</v>
      </c>
      <c r="U19" s="19">
        <v>0</v>
      </c>
      <c r="V19" s="19">
        <v>0</v>
      </c>
      <c r="W19" s="63">
        <v>-15.662460834000001</v>
      </c>
      <c r="X19" s="58">
        <f t="shared" si="0"/>
        <v>1923744.066857846</v>
      </c>
      <c r="Y19" s="18">
        <v>14</v>
      </c>
    </row>
    <row r="20" spans="1:25" s="13" customFormat="1" x14ac:dyDescent="0.25">
      <c r="A20" s="18">
        <v>15</v>
      </c>
      <c r="B20" s="57" t="s">
        <v>158</v>
      </c>
      <c r="C20" s="103">
        <f>VLOOKUP(B20,'CUG List'!B:F,5,FALSE)</f>
        <v>49.7</v>
      </c>
      <c r="D20" s="32">
        <v>2453.3000001</v>
      </c>
      <c r="E20" s="32">
        <v>118.892713292</v>
      </c>
      <c r="F20" s="32">
        <v>2769.4981911</v>
      </c>
      <c r="G20" s="20">
        <v>214.89336258</v>
      </c>
      <c r="H20" s="19">
        <v>7511.3624807249998</v>
      </c>
      <c r="I20" s="100">
        <v>7.7592887863431978E-2</v>
      </c>
      <c r="J20" s="69">
        <v>159889.17742605999</v>
      </c>
      <c r="K20" s="19">
        <v>0</v>
      </c>
      <c r="L20" s="19">
        <v>0</v>
      </c>
      <c r="M20" s="19">
        <v>0</v>
      </c>
      <c r="N20" s="19">
        <v>0</v>
      </c>
      <c r="O20" s="96">
        <v>0</v>
      </c>
      <c r="P20" s="19">
        <v>0</v>
      </c>
      <c r="Q20" s="19">
        <v>-561.84981488999995</v>
      </c>
      <c r="R20" s="19">
        <v>89.461585752000005</v>
      </c>
      <c r="S20" s="19">
        <v>-1.7008940829999999</v>
      </c>
      <c r="T20" s="19">
        <v>0</v>
      </c>
      <c r="U20" s="19">
        <v>0</v>
      </c>
      <c r="V20" s="19">
        <v>0</v>
      </c>
      <c r="W20" s="63">
        <v>-474.16941317999999</v>
      </c>
      <c r="X20" s="58">
        <f t="shared" si="0"/>
        <v>159415.00801287999</v>
      </c>
      <c r="Y20" s="18">
        <v>15</v>
      </c>
    </row>
    <row r="21" spans="1:25" s="13" customFormat="1" x14ac:dyDescent="0.25">
      <c r="A21" s="18">
        <v>16</v>
      </c>
      <c r="B21" s="56" t="s">
        <v>157</v>
      </c>
      <c r="C21" s="103">
        <f>VLOOKUP(B21,'CUG List'!B:F,5,FALSE)</f>
        <v>48.67</v>
      </c>
      <c r="D21" s="32">
        <v>1544.799999996</v>
      </c>
      <c r="E21" s="32">
        <v>-2.6431258149999999</v>
      </c>
      <c r="F21" s="32">
        <v>1667.0115668999999</v>
      </c>
      <c r="G21" s="20">
        <v>160.26688057300001</v>
      </c>
      <c r="H21" s="19">
        <v>4802.591296087</v>
      </c>
      <c r="I21" s="100">
        <v>9.6140233070508771E-2</v>
      </c>
      <c r="J21" s="69">
        <v>91835.286743061006</v>
      </c>
      <c r="K21" s="19">
        <v>0</v>
      </c>
      <c r="L21" s="19">
        <v>0</v>
      </c>
      <c r="M21" s="19">
        <v>0</v>
      </c>
      <c r="N21" s="19">
        <v>0</v>
      </c>
      <c r="O21" s="96">
        <v>0</v>
      </c>
      <c r="P21" s="19">
        <v>0</v>
      </c>
      <c r="Q21" s="19">
        <v>-244.505853648</v>
      </c>
      <c r="R21" s="19">
        <v>85.652092499000005</v>
      </c>
      <c r="S21" s="19">
        <v>-7.4470752129999997</v>
      </c>
      <c r="T21" s="19">
        <v>0</v>
      </c>
      <c r="U21" s="19">
        <v>0</v>
      </c>
      <c r="V21" s="19">
        <v>0</v>
      </c>
      <c r="W21" s="63">
        <v>-167.50134445699999</v>
      </c>
      <c r="X21" s="58">
        <f t="shared" si="0"/>
        <v>91667.785398603999</v>
      </c>
      <c r="Y21" s="18">
        <v>16</v>
      </c>
    </row>
    <row r="22" spans="1:25" s="13" customFormat="1" x14ac:dyDescent="0.25">
      <c r="A22" s="18">
        <v>17</v>
      </c>
      <c r="B22" s="55" t="s">
        <v>156</v>
      </c>
      <c r="C22" s="103">
        <f>VLOOKUP(B22,'CUG List'!B:F,5,FALSE)</f>
        <v>49.21</v>
      </c>
      <c r="D22" s="32">
        <v>5034.8900003159997</v>
      </c>
      <c r="E22" s="32">
        <v>-6.44770822</v>
      </c>
      <c r="F22" s="32">
        <v>5271.6311531000001</v>
      </c>
      <c r="G22" s="20">
        <v>473.55386325699999</v>
      </c>
      <c r="H22" s="19">
        <v>2244.8581425319999</v>
      </c>
      <c r="I22" s="100">
        <v>8.98306139985771E-2</v>
      </c>
      <c r="J22" s="69">
        <v>281850.48978752003</v>
      </c>
      <c r="K22" s="19">
        <v>0</v>
      </c>
      <c r="L22" s="19">
        <v>0</v>
      </c>
      <c r="M22" s="19">
        <v>0</v>
      </c>
      <c r="N22" s="19">
        <v>0</v>
      </c>
      <c r="O22" s="96">
        <v>0</v>
      </c>
      <c r="P22" s="19">
        <v>0</v>
      </c>
      <c r="Q22" s="19">
        <v>-895.393216284</v>
      </c>
      <c r="R22" s="19">
        <v>208.36753038399999</v>
      </c>
      <c r="S22" s="19">
        <v>-40.182074323999998</v>
      </c>
      <c r="T22" s="19">
        <v>0</v>
      </c>
      <c r="U22" s="19">
        <v>0</v>
      </c>
      <c r="V22" s="19">
        <v>0</v>
      </c>
      <c r="W22" s="63">
        <v>-732.45647464900003</v>
      </c>
      <c r="X22" s="58">
        <f t="shared" si="0"/>
        <v>281118.033312871</v>
      </c>
      <c r="Y22" s="18">
        <v>17</v>
      </c>
    </row>
    <row r="23" spans="1:25" s="13" customFormat="1" x14ac:dyDescent="0.25">
      <c r="A23" s="18">
        <v>18</v>
      </c>
      <c r="B23" s="55" t="s">
        <v>155</v>
      </c>
      <c r="C23" s="103">
        <f>VLOOKUP(B23,'CUG List'!B:F,5,FALSE)</f>
        <v>48.08</v>
      </c>
      <c r="D23" s="32">
        <v>948.50000013600004</v>
      </c>
      <c r="E23" s="32">
        <v>18.772083357</v>
      </c>
      <c r="F23" s="32">
        <v>1290.7126985</v>
      </c>
      <c r="G23" s="20">
        <v>324.21780801300002</v>
      </c>
      <c r="H23" s="19">
        <v>10223.858103602999</v>
      </c>
      <c r="I23" s="100">
        <v>0.25119285522625545</v>
      </c>
      <c r="J23" s="69">
        <v>74014.325933258995</v>
      </c>
      <c r="K23" s="19">
        <v>0</v>
      </c>
      <c r="L23" s="19">
        <v>0</v>
      </c>
      <c r="M23" s="19">
        <v>0</v>
      </c>
      <c r="N23" s="19">
        <v>0</v>
      </c>
      <c r="O23" s="96">
        <v>0</v>
      </c>
      <c r="P23" s="19">
        <v>0</v>
      </c>
      <c r="Q23" s="19">
        <v>-133.03216028400001</v>
      </c>
      <c r="R23" s="19">
        <v>0</v>
      </c>
      <c r="S23" s="19">
        <v>-0.10305946000000001</v>
      </c>
      <c r="T23" s="19">
        <v>0</v>
      </c>
      <c r="U23" s="19">
        <v>0</v>
      </c>
      <c r="V23" s="19">
        <v>0</v>
      </c>
      <c r="W23" s="63">
        <v>-133.214449892</v>
      </c>
      <c r="X23" s="58">
        <f t="shared" si="0"/>
        <v>73881.111483367</v>
      </c>
      <c r="Y23" s="18">
        <v>18</v>
      </c>
    </row>
    <row r="24" spans="1:25" s="13" customFormat="1" x14ac:dyDescent="0.25">
      <c r="A24" s="18">
        <v>19</v>
      </c>
      <c r="B24" s="55" t="s">
        <v>160</v>
      </c>
      <c r="C24" s="103">
        <f>VLOOKUP(B24,'CUG List'!B:F,5,FALSE)</f>
        <v>46.05</v>
      </c>
      <c r="D24" s="32">
        <v>2012.85</v>
      </c>
      <c r="E24" s="32">
        <v>-151.805206078</v>
      </c>
      <c r="F24" s="32">
        <v>2095.6951174999999</v>
      </c>
      <c r="G24" s="20">
        <v>245.16180752</v>
      </c>
      <c r="H24" s="19">
        <v>23247.304549578999</v>
      </c>
      <c r="I24" s="100">
        <v>0.11698352755264269</v>
      </c>
      <c r="J24" s="69">
        <v>154934.64237078099</v>
      </c>
      <c r="K24" s="19">
        <v>1488.7913805000001</v>
      </c>
      <c r="L24" s="19">
        <v>0</v>
      </c>
      <c r="M24" s="19">
        <v>0</v>
      </c>
      <c r="N24" s="19">
        <v>0</v>
      </c>
      <c r="O24" s="96">
        <v>9.7169637972658856E-3</v>
      </c>
      <c r="P24" s="19">
        <v>-14.466531946</v>
      </c>
      <c r="Q24" s="19">
        <v>-521.94816629100001</v>
      </c>
      <c r="R24" s="19">
        <v>360.53790920400002</v>
      </c>
      <c r="S24" s="19">
        <v>-1.7623294169999999</v>
      </c>
      <c r="T24" s="19">
        <v>0</v>
      </c>
      <c r="U24" s="19">
        <v>0</v>
      </c>
      <c r="V24" s="19">
        <v>0</v>
      </c>
      <c r="W24" s="63">
        <v>1310.64836216</v>
      </c>
      <c r="X24" s="58">
        <f t="shared" si="0"/>
        <v>156245.29073294098</v>
      </c>
      <c r="Y24" s="18">
        <v>19</v>
      </c>
    </row>
    <row r="25" spans="1:25" s="13" customFormat="1" x14ac:dyDescent="0.25">
      <c r="A25" s="18">
        <v>20</v>
      </c>
      <c r="B25" s="55" t="s">
        <v>162</v>
      </c>
      <c r="C25" s="103">
        <f>VLOOKUP(B25,'CUG List'!B:F,5,FALSE)</f>
        <v>98.46</v>
      </c>
      <c r="D25" s="32">
        <v>1677.7299998880001</v>
      </c>
      <c r="E25" s="32">
        <v>-347.70168589799999</v>
      </c>
      <c r="F25" s="32">
        <v>1552.1330449</v>
      </c>
      <c r="G25" s="20">
        <v>302.48198223200001</v>
      </c>
      <c r="H25" s="19">
        <v>18755.507365738002</v>
      </c>
      <c r="I25" s="100">
        <v>0.19488147825078239</v>
      </c>
      <c r="J25" s="69">
        <v>160690.50262578201</v>
      </c>
      <c r="K25" s="19">
        <v>28552.382189299999</v>
      </c>
      <c r="L25" s="19">
        <v>0</v>
      </c>
      <c r="M25" s="19">
        <v>0</v>
      </c>
      <c r="N25" s="19">
        <v>0</v>
      </c>
      <c r="O25" s="96">
        <v>0.32794953505154678</v>
      </c>
      <c r="P25" s="19">
        <v>-9363.7404635950006</v>
      </c>
      <c r="Q25" s="19">
        <v>-291.06454984800001</v>
      </c>
      <c r="R25" s="19">
        <v>2062.5786690989999</v>
      </c>
      <c r="S25" s="19">
        <v>-6.3446186569999998</v>
      </c>
      <c r="T25" s="19">
        <v>0</v>
      </c>
      <c r="U25" s="19">
        <v>0</v>
      </c>
      <c r="V25" s="19">
        <v>8860.4793177930005</v>
      </c>
      <c r="W25" s="63">
        <v>29814.289995337</v>
      </c>
      <c r="X25" s="58">
        <f t="shared" si="0"/>
        <v>190504.79262111901</v>
      </c>
      <c r="Y25" s="18">
        <v>20</v>
      </c>
    </row>
    <row r="26" spans="1:25" s="13" customFormat="1" x14ac:dyDescent="0.25">
      <c r="A26" s="18">
        <v>21</v>
      </c>
      <c r="B26" s="55" t="s">
        <v>159</v>
      </c>
      <c r="C26" s="103">
        <f>VLOOKUP(B26,'CUG List'!B:F,5,FALSE)</f>
        <v>47.49</v>
      </c>
      <c r="D26" s="32">
        <v>987.80000011200002</v>
      </c>
      <c r="E26" s="32">
        <v>108.662500022</v>
      </c>
      <c r="F26" s="32">
        <v>1196.4815068</v>
      </c>
      <c r="G26" s="20">
        <v>98.363529001000003</v>
      </c>
      <c r="H26" s="19">
        <v>4556.3032888280004</v>
      </c>
      <c r="I26" s="100">
        <v>8.2210655527868617E-2</v>
      </c>
      <c r="J26" s="69">
        <v>73808.084510617002</v>
      </c>
      <c r="K26" s="19">
        <v>0</v>
      </c>
      <c r="L26" s="19">
        <v>0</v>
      </c>
      <c r="M26" s="19">
        <v>0</v>
      </c>
      <c r="N26" s="19">
        <v>0</v>
      </c>
      <c r="O26" s="96">
        <v>0</v>
      </c>
      <c r="P26" s="19">
        <v>0</v>
      </c>
      <c r="Q26" s="19">
        <v>-45.473602237000001</v>
      </c>
      <c r="R26" s="19">
        <v>3.766095</v>
      </c>
      <c r="S26" s="19">
        <v>-6.817371E-3</v>
      </c>
      <c r="T26" s="19">
        <v>0</v>
      </c>
      <c r="U26" s="19">
        <v>0</v>
      </c>
      <c r="V26" s="19">
        <v>0</v>
      </c>
      <c r="W26" s="63">
        <v>-41.714324607999998</v>
      </c>
      <c r="X26" s="58">
        <f t="shared" si="0"/>
        <v>73766.370186009008</v>
      </c>
      <c r="Y26" s="18">
        <v>21</v>
      </c>
    </row>
    <row r="27" spans="1:25" s="13" customFormat="1" x14ac:dyDescent="0.25">
      <c r="A27" s="18">
        <v>22</v>
      </c>
      <c r="B27" s="55" t="s">
        <v>161</v>
      </c>
      <c r="C27" s="103">
        <f>VLOOKUP(B27,'CUG List'!B:F,5,FALSE)</f>
        <v>95.4</v>
      </c>
      <c r="D27" s="32">
        <v>1518.229999956</v>
      </c>
      <c r="E27" s="32">
        <v>-39.323318962000002</v>
      </c>
      <c r="F27" s="32">
        <v>1468.739632</v>
      </c>
      <c r="G27" s="20">
        <v>198.637103696</v>
      </c>
      <c r="H27" s="19">
        <v>201.23836577200001</v>
      </c>
      <c r="I27" s="100">
        <v>0.13524323805813937</v>
      </c>
      <c r="J27" s="69">
        <v>123688.24752370099</v>
      </c>
      <c r="K27" s="19">
        <v>47770.622177450001</v>
      </c>
      <c r="L27" s="19">
        <v>975.8500143</v>
      </c>
      <c r="M27" s="19">
        <v>0</v>
      </c>
      <c r="N27" s="19">
        <v>0</v>
      </c>
      <c r="O27" s="96">
        <v>7.5280222102042937E-2</v>
      </c>
      <c r="P27" s="19">
        <v>-3669.6452532859998</v>
      </c>
      <c r="Q27" s="19">
        <v>-11.186969553999999</v>
      </c>
      <c r="R27" s="19">
        <v>694.33122247300003</v>
      </c>
      <c r="S27" s="19">
        <v>-30.287878388999999</v>
      </c>
      <c r="T27" s="19">
        <v>0</v>
      </c>
      <c r="U27" s="19">
        <v>0</v>
      </c>
      <c r="V27" s="19">
        <v>0</v>
      </c>
      <c r="W27" s="63">
        <v>45727.418942142001</v>
      </c>
      <c r="X27" s="58">
        <f t="shared" si="0"/>
        <v>169415.66646584298</v>
      </c>
      <c r="Y27" s="18">
        <v>22</v>
      </c>
    </row>
    <row r="28" spans="1:25" s="17" customFormat="1" x14ac:dyDescent="0.25">
      <c r="A28" s="18">
        <v>23</v>
      </c>
      <c r="B28" s="55" t="s">
        <v>164</v>
      </c>
      <c r="C28" s="103">
        <f>VLOOKUP(B28,'CUG List'!B:F,5,FALSE)</f>
        <v>309.83999999999997</v>
      </c>
      <c r="D28" s="32">
        <v>29204.849999964001</v>
      </c>
      <c r="E28" s="32">
        <v>-194.24527131299999</v>
      </c>
      <c r="F28" s="32">
        <v>30370.0072186</v>
      </c>
      <c r="G28" s="20">
        <v>2794.5543008730001</v>
      </c>
      <c r="H28" s="19">
        <v>48124.324330609998</v>
      </c>
      <c r="I28" s="100">
        <v>9.2016912632193429E-2</v>
      </c>
      <c r="J28" s="69">
        <v>1696678.24050827</v>
      </c>
      <c r="K28" s="19">
        <v>0</v>
      </c>
      <c r="L28" s="19">
        <v>0</v>
      </c>
      <c r="M28" s="19">
        <v>0</v>
      </c>
      <c r="N28" s="19">
        <v>0</v>
      </c>
      <c r="O28" s="96">
        <v>0</v>
      </c>
      <c r="P28" s="19">
        <v>0</v>
      </c>
      <c r="Q28" s="19">
        <v>-4019.667298675</v>
      </c>
      <c r="R28" s="19">
        <v>445.85244080699999</v>
      </c>
      <c r="S28" s="19">
        <v>-256.51433624600003</v>
      </c>
      <c r="T28" s="19">
        <v>0</v>
      </c>
      <c r="U28" s="19">
        <v>0</v>
      </c>
      <c r="V28" s="19">
        <v>0</v>
      </c>
      <c r="W28" s="63">
        <v>-3886.459952492</v>
      </c>
      <c r="X28" s="58">
        <f t="shared" si="0"/>
        <v>1692791.780555778</v>
      </c>
      <c r="Y28" s="18">
        <v>23</v>
      </c>
    </row>
    <row r="29" spans="1:25" s="13" customFormat="1" x14ac:dyDescent="0.25">
      <c r="A29" s="18">
        <v>24</v>
      </c>
      <c r="B29" s="55" t="s">
        <v>169</v>
      </c>
      <c r="C29" s="103">
        <f>VLOOKUP(B29,'CUG List'!B:F,5,FALSE)</f>
        <v>119.91</v>
      </c>
      <c r="D29" s="32">
        <v>75212.059999692006</v>
      </c>
      <c r="E29" s="32">
        <v>-6375.8170298240002</v>
      </c>
      <c r="F29" s="32">
        <v>70004.660600200004</v>
      </c>
      <c r="G29" s="20">
        <v>1798.0170132830001</v>
      </c>
      <c r="H29" s="19">
        <v>77716.836849419997</v>
      </c>
      <c r="I29" s="100">
        <v>2.568424727535731E-2</v>
      </c>
      <c r="J29" s="69">
        <v>3037275.8068792098</v>
      </c>
      <c r="K29" s="19">
        <v>32350.20986205</v>
      </c>
      <c r="L29" s="19">
        <v>0</v>
      </c>
      <c r="M29" s="19">
        <v>9497.7082948749994</v>
      </c>
      <c r="N29" s="19">
        <v>672.92520460000003</v>
      </c>
      <c r="O29" s="96">
        <v>5.151358497870212E-2</v>
      </c>
      <c r="P29" s="19">
        <v>-2190.4010778699999</v>
      </c>
      <c r="Q29" s="19">
        <v>-6271.340132409</v>
      </c>
      <c r="R29" s="19">
        <v>0</v>
      </c>
      <c r="S29" s="19">
        <v>-57.126238938999997</v>
      </c>
      <c r="T29" s="19">
        <v>0</v>
      </c>
      <c r="U29" s="19">
        <v>0</v>
      </c>
      <c r="V29" s="19">
        <v>0</v>
      </c>
      <c r="W29" s="63">
        <v>33959.415648463997</v>
      </c>
      <c r="X29" s="58">
        <f t="shared" si="0"/>
        <v>3071235.2225276739</v>
      </c>
      <c r="Y29" s="18">
        <v>24</v>
      </c>
    </row>
    <row r="30" spans="1:25" s="13" customFormat="1" x14ac:dyDescent="0.25">
      <c r="A30" s="18">
        <v>25</v>
      </c>
      <c r="B30" s="55" t="s">
        <v>170</v>
      </c>
      <c r="C30" s="103">
        <f>VLOOKUP(B30,'CUG List'!B:F,5,FALSE)</f>
        <v>52.23</v>
      </c>
      <c r="D30" s="32">
        <v>2903.8000003560001</v>
      </c>
      <c r="E30" s="32">
        <v>68.889583423000005</v>
      </c>
      <c r="F30" s="32">
        <v>3318.8195357</v>
      </c>
      <c r="G30" s="20">
        <v>346.41463973999998</v>
      </c>
      <c r="H30" s="19">
        <v>16571.422457887002</v>
      </c>
      <c r="I30" s="100">
        <v>0.10437887206992555</v>
      </c>
      <c r="J30" s="69">
        <v>198107.65060557699</v>
      </c>
      <c r="K30" s="19">
        <v>0</v>
      </c>
      <c r="L30" s="19">
        <v>0</v>
      </c>
      <c r="M30" s="19">
        <v>0</v>
      </c>
      <c r="N30" s="19">
        <v>0</v>
      </c>
      <c r="O30" s="96">
        <v>0</v>
      </c>
      <c r="P30" s="19">
        <v>0</v>
      </c>
      <c r="Q30" s="19">
        <v>-738.33049555900004</v>
      </c>
      <c r="R30" s="19">
        <v>36.468934500000003</v>
      </c>
      <c r="S30" s="19">
        <v>0.28051715399999999</v>
      </c>
      <c r="T30" s="19">
        <v>0</v>
      </c>
      <c r="U30" s="19">
        <v>0</v>
      </c>
      <c r="V30" s="19">
        <v>0</v>
      </c>
      <c r="W30" s="63">
        <v>-701.92833416799999</v>
      </c>
      <c r="X30" s="58">
        <f t="shared" si="0"/>
        <v>197405.72227140897</v>
      </c>
      <c r="Y30" s="18">
        <v>25</v>
      </c>
    </row>
    <row r="31" spans="1:25" s="13" customFormat="1" x14ac:dyDescent="0.25">
      <c r="A31" s="18">
        <v>26</v>
      </c>
      <c r="B31" s="55" t="s">
        <v>171</v>
      </c>
      <c r="C31" s="103">
        <f>VLOOKUP(B31,'CUG List'!B:F,5,FALSE)</f>
        <v>52.4</v>
      </c>
      <c r="D31" s="32">
        <v>13815.400000644</v>
      </c>
      <c r="E31" s="32">
        <v>-66.606041247999997</v>
      </c>
      <c r="F31" s="32">
        <v>14636.456707400001</v>
      </c>
      <c r="G31" s="20">
        <v>1073.4534779959999</v>
      </c>
      <c r="H31" s="19">
        <v>28784.024345963</v>
      </c>
      <c r="I31" s="100">
        <v>7.3341075606999609E-2</v>
      </c>
      <c r="J31" s="69">
        <v>686571.929533166</v>
      </c>
      <c r="K31" s="19">
        <v>0</v>
      </c>
      <c r="L31" s="19">
        <v>0</v>
      </c>
      <c r="M31" s="19">
        <v>0</v>
      </c>
      <c r="N31" s="19">
        <v>0</v>
      </c>
      <c r="O31" s="96">
        <v>0</v>
      </c>
      <c r="P31" s="19">
        <v>0</v>
      </c>
      <c r="Q31" s="19">
        <v>-2271.6557941619999</v>
      </c>
      <c r="R31" s="19">
        <v>30.607667085999999</v>
      </c>
      <c r="S31" s="19">
        <v>-27.491888781</v>
      </c>
      <c r="T31" s="19">
        <v>0</v>
      </c>
      <c r="U31" s="19">
        <v>0</v>
      </c>
      <c r="V31" s="19">
        <v>0</v>
      </c>
      <c r="W31" s="63">
        <v>-2282.5348466280002</v>
      </c>
      <c r="X31" s="58">
        <f t="shared" si="0"/>
        <v>684289.39468653803</v>
      </c>
      <c r="Y31" s="18">
        <v>26</v>
      </c>
    </row>
    <row r="32" spans="1:25" s="13" customFormat="1" x14ac:dyDescent="0.25">
      <c r="A32" s="18">
        <v>27</v>
      </c>
      <c r="B32" s="55" t="s">
        <v>172</v>
      </c>
      <c r="C32" s="103">
        <f>VLOOKUP(B32,'CUG List'!B:F,5,FALSE)</f>
        <v>52.43</v>
      </c>
      <c r="D32" s="32">
        <v>2898.7000001040001</v>
      </c>
      <c r="E32" s="32">
        <v>58.308333388999998</v>
      </c>
      <c r="F32" s="32">
        <v>3290.9745610999998</v>
      </c>
      <c r="G32" s="20">
        <v>339.13665120000002</v>
      </c>
      <c r="H32" s="19">
        <v>16229.197992961999</v>
      </c>
      <c r="I32" s="100">
        <v>0.10305052345547286</v>
      </c>
      <c r="J32" s="69">
        <v>196852.942822882</v>
      </c>
      <c r="K32" s="19">
        <v>0</v>
      </c>
      <c r="L32" s="19">
        <v>0</v>
      </c>
      <c r="M32" s="19">
        <v>0</v>
      </c>
      <c r="N32" s="19">
        <v>0</v>
      </c>
      <c r="O32" s="96">
        <v>0</v>
      </c>
      <c r="P32" s="19">
        <v>0</v>
      </c>
      <c r="Q32" s="19">
        <v>-680.92736404799996</v>
      </c>
      <c r="R32" s="19">
        <v>29.259980499000001</v>
      </c>
      <c r="S32" s="19">
        <v>-1.212715969</v>
      </c>
      <c r="T32" s="19">
        <v>0</v>
      </c>
      <c r="U32" s="19">
        <v>0</v>
      </c>
      <c r="V32" s="19">
        <v>0</v>
      </c>
      <c r="W32" s="63">
        <v>-652.88009951799995</v>
      </c>
      <c r="X32" s="58">
        <f t="shared" si="0"/>
        <v>196200.06272336401</v>
      </c>
      <c r="Y32" s="18">
        <v>27</v>
      </c>
    </row>
    <row r="33" spans="1:25" s="13" customFormat="1" x14ac:dyDescent="0.25">
      <c r="A33" s="18">
        <v>28</v>
      </c>
      <c r="B33" s="55" t="s">
        <v>135</v>
      </c>
      <c r="C33" s="103">
        <f>VLOOKUP(B33,'CUG List'!B:F,5,FALSE)</f>
        <v>46.2</v>
      </c>
      <c r="D33" s="32">
        <v>749.03000007599996</v>
      </c>
      <c r="E33" s="32">
        <v>-217.65375899399999</v>
      </c>
      <c r="F33" s="32">
        <v>558.22576319999996</v>
      </c>
      <c r="G33" s="20">
        <v>62.637841418000001</v>
      </c>
      <c r="H33" s="19">
        <v>3065.267967068</v>
      </c>
      <c r="I33" s="100">
        <v>0.11220879713421296</v>
      </c>
      <c r="J33" s="69">
        <v>56953.664785808003</v>
      </c>
      <c r="K33" s="19">
        <v>16081.2268277</v>
      </c>
      <c r="L33" s="19">
        <v>0</v>
      </c>
      <c r="M33" s="19">
        <v>0</v>
      </c>
      <c r="N33" s="19">
        <v>0</v>
      </c>
      <c r="O33" s="96">
        <v>4.4611616695018459E-2</v>
      </c>
      <c r="P33" s="19">
        <v>-717.40952722300005</v>
      </c>
      <c r="Q33" s="19">
        <v>-276.74024637299999</v>
      </c>
      <c r="R33" s="19">
        <v>0</v>
      </c>
      <c r="S33" s="19">
        <v>-8.3941027649999995</v>
      </c>
      <c r="T33" s="19">
        <v>0</v>
      </c>
      <c r="U33" s="19">
        <v>0</v>
      </c>
      <c r="V33" s="19">
        <v>5387.4108001439999</v>
      </c>
      <c r="W33" s="63">
        <v>20466.093751483</v>
      </c>
      <c r="X33" s="58">
        <f t="shared" si="0"/>
        <v>77419.758537290996</v>
      </c>
      <c r="Y33" s="18">
        <v>28</v>
      </c>
    </row>
    <row r="34" spans="1:25" s="13" customFormat="1" x14ac:dyDescent="0.25">
      <c r="A34" s="18">
        <v>29</v>
      </c>
      <c r="B34" s="55" t="s">
        <v>136</v>
      </c>
      <c r="C34" s="103">
        <f>VLOOKUP(B34,'CUG List'!B:F,5,FALSE)</f>
        <v>44.6</v>
      </c>
      <c r="D34" s="32">
        <v>672.20000010000001</v>
      </c>
      <c r="E34" s="32">
        <v>-230.21000734500001</v>
      </c>
      <c r="F34" s="32">
        <v>462.31959510000002</v>
      </c>
      <c r="G34" s="20">
        <v>36.860523043000001</v>
      </c>
      <c r="H34" s="19">
        <v>3131.1994445619998</v>
      </c>
      <c r="I34" s="100">
        <v>7.9729527871357148E-2</v>
      </c>
      <c r="J34" s="69">
        <v>50816.198646757002</v>
      </c>
      <c r="K34" s="19">
        <v>14461.041735000001</v>
      </c>
      <c r="L34" s="19">
        <v>0</v>
      </c>
      <c r="M34" s="19">
        <v>0</v>
      </c>
      <c r="N34" s="19">
        <v>0</v>
      </c>
      <c r="O34" s="96">
        <v>7.1399037555367376E-2</v>
      </c>
      <c r="P34" s="19">
        <v>-1032.504461927</v>
      </c>
      <c r="Q34" s="19">
        <v>-218.91709745700001</v>
      </c>
      <c r="R34" s="19">
        <v>0</v>
      </c>
      <c r="S34" s="19">
        <v>-3.8006674020000002</v>
      </c>
      <c r="T34" s="19">
        <v>0</v>
      </c>
      <c r="U34" s="19">
        <v>0</v>
      </c>
      <c r="V34" s="19">
        <v>5200.8338054289998</v>
      </c>
      <c r="W34" s="63">
        <v>18406.576676051998</v>
      </c>
      <c r="X34" s="58">
        <f t="shared" si="0"/>
        <v>69222.775322809</v>
      </c>
      <c r="Y34" s="18">
        <v>29</v>
      </c>
    </row>
    <row r="35" spans="1:25" s="13" customFormat="1" x14ac:dyDescent="0.25">
      <c r="A35" s="18">
        <v>30</v>
      </c>
      <c r="B35" s="55" t="s">
        <v>137</v>
      </c>
      <c r="C35" s="103">
        <f>VLOOKUP(B35,'CUG List'!B:F,5,FALSE)</f>
        <v>48</v>
      </c>
      <c r="D35" s="32">
        <v>1357.6200001320001</v>
      </c>
      <c r="E35" s="32">
        <v>-400.16792053199998</v>
      </c>
      <c r="F35" s="32">
        <v>1036.7345373999999</v>
      </c>
      <c r="G35" s="20">
        <v>103.926831976</v>
      </c>
      <c r="H35" s="19">
        <v>363.17671240300001</v>
      </c>
      <c r="I35" s="100">
        <v>0.10024440030389598</v>
      </c>
      <c r="J35" s="69">
        <v>85718.653398905997</v>
      </c>
      <c r="K35" s="19">
        <v>18584.5151506</v>
      </c>
      <c r="L35" s="19">
        <v>0</v>
      </c>
      <c r="M35" s="19">
        <v>0</v>
      </c>
      <c r="N35" s="19">
        <v>0</v>
      </c>
      <c r="O35" s="96">
        <v>3.1004776844468663E-2</v>
      </c>
      <c r="P35" s="19">
        <v>-576.20874500699995</v>
      </c>
      <c r="Q35" s="19">
        <v>-166.68762681300001</v>
      </c>
      <c r="R35" s="19">
        <v>447.11995999800001</v>
      </c>
      <c r="S35" s="19">
        <v>-5.779940463</v>
      </c>
      <c r="T35" s="19">
        <v>0</v>
      </c>
      <c r="U35" s="19">
        <v>0</v>
      </c>
      <c r="V35" s="19">
        <v>5597.3099269730001</v>
      </c>
      <c r="W35" s="63">
        <v>23880.268361507999</v>
      </c>
      <c r="X35" s="58">
        <f t="shared" si="0"/>
        <v>109598.921760414</v>
      </c>
      <c r="Y35" s="18">
        <v>30</v>
      </c>
    </row>
    <row r="36" spans="1:25" s="13" customFormat="1" x14ac:dyDescent="0.25">
      <c r="A36" s="18">
        <v>31</v>
      </c>
      <c r="B36" s="57" t="s">
        <v>138</v>
      </c>
      <c r="C36" s="103">
        <f>VLOOKUP(B36,'CUG List'!B:F,5,FALSE)</f>
        <v>48</v>
      </c>
      <c r="D36" s="32">
        <v>1402.350000144</v>
      </c>
      <c r="E36" s="32">
        <v>-376.65979552800002</v>
      </c>
      <c r="F36" s="32">
        <v>1114.2058761999999</v>
      </c>
      <c r="G36" s="20">
        <v>98.273895400000001</v>
      </c>
      <c r="H36" s="19">
        <v>7769.204779402</v>
      </c>
      <c r="I36" s="100">
        <v>8.8200841064636284E-2</v>
      </c>
      <c r="J36" s="69">
        <v>99844.282518677996</v>
      </c>
      <c r="K36" s="19">
        <v>20106.915951499999</v>
      </c>
      <c r="L36" s="19">
        <v>0</v>
      </c>
      <c r="M36" s="19">
        <v>0</v>
      </c>
      <c r="N36" s="19">
        <v>0</v>
      </c>
      <c r="O36" s="96">
        <v>3.4687100962292002E-2</v>
      </c>
      <c r="P36" s="19">
        <v>-697.45062365000001</v>
      </c>
      <c r="Q36" s="19">
        <v>157.72126433700001</v>
      </c>
      <c r="R36" s="19">
        <v>121.48941000000001</v>
      </c>
      <c r="S36" s="19">
        <v>-2.288678703</v>
      </c>
      <c r="T36" s="19">
        <v>0</v>
      </c>
      <c r="U36" s="19">
        <v>0</v>
      </c>
      <c r="V36" s="19">
        <v>5597.3099269730001</v>
      </c>
      <c r="W36" s="63">
        <v>25283.697151785</v>
      </c>
      <c r="X36" s="58">
        <f t="shared" si="0"/>
        <v>125127.979670463</v>
      </c>
      <c r="Y36" s="18">
        <v>31</v>
      </c>
    </row>
    <row r="37" spans="1:25" s="13" customFormat="1" x14ac:dyDescent="0.25">
      <c r="A37" s="18">
        <v>32</v>
      </c>
      <c r="B37" s="56" t="s">
        <v>139</v>
      </c>
      <c r="C37" s="103">
        <f>VLOOKUP(B37,'CUG List'!B:F,5,FALSE)</f>
        <v>48</v>
      </c>
      <c r="D37" s="32">
        <v>1480.8800001479999</v>
      </c>
      <c r="E37" s="32">
        <v>-322.13667571500002</v>
      </c>
      <c r="F37" s="32">
        <v>1248.9985551</v>
      </c>
      <c r="G37" s="20">
        <v>110.734829354</v>
      </c>
      <c r="H37" s="19">
        <v>4576.8108338149996</v>
      </c>
      <c r="I37" s="100">
        <v>8.8658893080251891E-2</v>
      </c>
      <c r="J37" s="69">
        <v>114176.558386427</v>
      </c>
      <c r="K37" s="19">
        <v>21400.1079684</v>
      </c>
      <c r="L37" s="19">
        <v>0</v>
      </c>
      <c r="M37" s="19">
        <v>0</v>
      </c>
      <c r="N37" s="19">
        <v>0</v>
      </c>
      <c r="O37" s="96">
        <v>2.8197843616352396E-2</v>
      </c>
      <c r="P37" s="19">
        <v>-603.43689786599998</v>
      </c>
      <c r="Q37" s="19">
        <v>-316.81946931099998</v>
      </c>
      <c r="R37" s="19">
        <v>572.78046000100005</v>
      </c>
      <c r="S37" s="19">
        <v>-2.9009774560000001</v>
      </c>
      <c r="T37" s="19">
        <v>0</v>
      </c>
      <c r="U37" s="19">
        <v>0</v>
      </c>
      <c r="V37" s="19">
        <v>5597.3099269730001</v>
      </c>
      <c r="W37" s="63">
        <v>26645.166346424001</v>
      </c>
      <c r="X37" s="58">
        <f t="shared" si="0"/>
        <v>140821.724732851</v>
      </c>
      <c r="Y37" s="18">
        <v>32</v>
      </c>
    </row>
    <row r="38" spans="1:25" s="13" customFormat="1" x14ac:dyDescent="0.25">
      <c r="A38" s="18">
        <v>33</v>
      </c>
      <c r="B38" s="57" t="s">
        <v>140</v>
      </c>
      <c r="C38" s="103">
        <f>VLOOKUP(B38,'CUG List'!B:F,5,FALSE)</f>
        <v>48.7</v>
      </c>
      <c r="D38" s="32">
        <v>3403.6100005799999</v>
      </c>
      <c r="E38" s="32">
        <v>-1881.513146147</v>
      </c>
      <c r="F38" s="32">
        <v>1592.858592</v>
      </c>
      <c r="G38" s="20">
        <v>160.49306735299999</v>
      </c>
      <c r="H38" s="19">
        <v>11.322391603</v>
      </c>
      <c r="I38" s="100">
        <v>0.10075788783703907</v>
      </c>
      <c r="J38" s="69">
        <v>144824.21313931199</v>
      </c>
      <c r="K38" s="19">
        <v>12799.852521425</v>
      </c>
      <c r="L38" s="19">
        <v>0</v>
      </c>
      <c r="M38" s="19">
        <v>0</v>
      </c>
      <c r="N38" s="19">
        <v>0</v>
      </c>
      <c r="O38" s="96">
        <v>3.0419396167203055E-2</v>
      </c>
      <c r="P38" s="19">
        <v>-389.36378473100001</v>
      </c>
      <c r="Q38" s="19">
        <v>-529.49753600500003</v>
      </c>
      <c r="R38" s="19">
        <v>821.93256254200003</v>
      </c>
      <c r="S38" s="19">
        <v>-17.674495541999999</v>
      </c>
      <c r="T38" s="19">
        <v>0</v>
      </c>
      <c r="U38" s="19">
        <v>0</v>
      </c>
      <c r="V38" s="19">
        <v>4960.5392882320002</v>
      </c>
      <c r="W38" s="63">
        <v>17642.452835573</v>
      </c>
      <c r="X38" s="58">
        <f t="shared" si="0"/>
        <v>162466.66597488499</v>
      </c>
      <c r="Y38" s="18">
        <v>33</v>
      </c>
    </row>
    <row r="39" spans="1:25" s="13" customFormat="1" x14ac:dyDescent="0.25">
      <c r="A39" s="18">
        <v>34</v>
      </c>
      <c r="B39" s="57" t="s">
        <v>141</v>
      </c>
      <c r="C39" s="103">
        <f>VLOOKUP(B39,'CUG List'!B:F,5,FALSE)</f>
        <v>46.9</v>
      </c>
      <c r="D39" s="32">
        <v>3246.8800005480002</v>
      </c>
      <c r="E39" s="32">
        <v>-2166.267500291</v>
      </c>
      <c r="F39" s="32">
        <v>1113.2619970000001</v>
      </c>
      <c r="G39" s="20">
        <v>142.131580173</v>
      </c>
      <c r="H39" s="19">
        <v>4619.9687368699997</v>
      </c>
      <c r="I39" s="100">
        <v>0.12767127644347318</v>
      </c>
      <c r="J39" s="69">
        <v>53155.408221072998</v>
      </c>
      <c r="K39" s="19">
        <v>7607.7061673999997</v>
      </c>
      <c r="L39" s="19">
        <v>0</v>
      </c>
      <c r="M39" s="19">
        <v>0</v>
      </c>
      <c r="N39" s="19">
        <v>0</v>
      </c>
      <c r="O39" s="96">
        <v>0.10548894743358252</v>
      </c>
      <c r="P39" s="19">
        <v>-802.52891598300005</v>
      </c>
      <c r="Q39" s="19">
        <v>-254.55503411999999</v>
      </c>
      <c r="R39" s="19">
        <v>97.609205501999995</v>
      </c>
      <c r="S39" s="19">
        <v>-23.719721703000001</v>
      </c>
      <c r="T39" s="19">
        <v>0</v>
      </c>
      <c r="U39" s="19">
        <v>0</v>
      </c>
      <c r="V39" s="19">
        <v>0</v>
      </c>
      <c r="W39" s="63">
        <v>6622.5525453299997</v>
      </c>
      <c r="X39" s="58">
        <f t="shared" si="0"/>
        <v>59777.960766402997</v>
      </c>
      <c r="Y39" s="18">
        <v>34</v>
      </c>
    </row>
    <row r="40" spans="1:25" s="13" customFormat="1" x14ac:dyDescent="0.25">
      <c r="A40" s="18">
        <v>35</v>
      </c>
      <c r="B40" s="57" t="s">
        <v>142</v>
      </c>
      <c r="C40" s="103">
        <f>VLOOKUP(B40,'CUG List'!B:F,5,FALSE)</f>
        <v>46</v>
      </c>
      <c r="D40" s="32">
        <v>636.82000012799995</v>
      </c>
      <c r="E40" s="32">
        <v>551.036477354</v>
      </c>
      <c r="F40" s="32">
        <v>1291.2275500999999</v>
      </c>
      <c r="G40" s="20">
        <v>164.058246642</v>
      </c>
      <c r="H40" s="19">
        <v>10134.415796423</v>
      </c>
      <c r="I40" s="100">
        <v>0.12705603023207987</v>
      </c>
      <c r="J40" s="69">
        <v>100627.625881663</v>
      </c>
      <c r="K40" s="19">
        <v>19862.392761075</v>
      </c>
      <c r="L40" s="19">
        <v>0</v>
      </c>
      <c r="M40" s="19">
        <v>0</v>
      </c>
      <c r="N40" s="19">
        <v>0</v>
      </c>
      <c r="O40" s="96">
        <v>4.4083626512962486E-2</v>
      </c>
      <c r="P40" s="19">
        <v>-875.60630413299998</v>
      </c>
      <c r="Q40" s="19">
        <v>-298.49710826900002</v>
      </c>
      <c r="R40" s="19">
        <v>1216.9893525289999</v>
      </c>
      <c r="S40" s="19">
        <v>-12.782483681</v>
      </c>
      <c r="T40" s="19">
        <v>0</v>
      </c>
      <c r="U40" s="19">
        <v>0</v>
      </c>
      <c r="V40" s="19">
        <v>3096.4877851669999</v>
      </c>
      <c r="W40" s="63">
        <v>22988.941559714</v>
      </c>
      <c r="X40" s="58">
        <f t="shared" si="0"/>
        <v>123616.567441377</v>
      </c>
      <c r="Y40" s="18">
        <v>35</v>
      </c>
    </row>
    <row r="41" spans="1:25" s="13" customFormat="1" x14ac:dyDescent="0.25">
      <c r="A41" s="18">
        <v>36</v>
      </c>
      <c r="B41" s="57" t="s">
        <v>143</v>
      </c>
      <c r="C41" s="103">
        <f>VLOOKUP(B41,'CUG List'!B:F,5,FALSE)</f>
        <v>49.98</v>
      </c>
      <c r="D41" s="32">
        <v>4416.2200003919997</v>
      </c>
      <c r="E41" s="32">
        <v>-2961.8020984660002</v>
      </c>
      <c r="F41" s="32">
        <v>1653.7079458999999</v>
      </c>
      <c r="G41" s="20">
        <v>221.68159013600001</v>
      </c>
      <c r="H41" s="19">
        <v>8487.8798027150006</v>
      </c>
      <c r="I41" s="100">
        <v>0.13405123358426746</v>
      </c>
      <c r="J41" s="69">
        <v>148783.655004222</v>
      </c>
      <c r="K41" s="19">
        <v>4138.8089932250004</v>
      </c>
      <c r="L41" s="19">
        <v>0</v>
      </c>
      <c r="M41" s="19">
        <v>0</v>
      </c>
      <c r="N41" s="19">
        <v>0</v>
      </c>
      <c r="O41" s="96">
        <v>0.16789214552651963</v>
      </c>
      <c r="P41" s="19">
        <v>-694.87352179699997</v>
      </c>
      <c r="Q41" s="19">
        <v>612.86104396500002</v>
      </c>
      <c r="R41" s="19">
        <v>155.70886424700001</v>
      </c>
      <c r="S41" s="19">
        <v>-0.74767478700000001</v>
      </c>
      <c r="T41" s="19">
        <v>0</v>
      </c>
      <c r="U41" s="19">
        <v>0</v>
      </c>
      <c r="V41" s="19">
        <v>0</v>
      </c>
      <c r="W41" s="63">
        <v>4207.5681393490004</v>
      </c>
      <c r="X41" s="58">
        <f t="shared" si="0"/>
        <v>152991.223143571</v>
      </c>
      <c r="Y41" s="18">
        <v>36</v>
      </c>
    </row>
    <row r="42" spans="1:25" s="13" customFormat="1" x14ac:dyDescent="0.25">
      <c r="A42" s="18">
        <v>37</v>
      </c>
      <c r="B42" s="57" t="s">
        <v>144</v>
      </c>
      <c r="C42" s="103">
        <f>VLOOKUP(B42,'CUG List'!B:F,5,FALSE)</f>
        <v>49.42</v>
      </c>
      <c r="D42" s="32">
        <v>4400.5000004760004</v>
      </c>
      <c r="E42" s="32">
        <v>-3068.0491980930001</v>
      </c>
      <c r="F42" s="32">
        <v>1470.1595427</v>
      </c>
      <c r="G42" s="20">
        <v>190.97151230200001</v>
      </c>
      <c r="H42" s="19">
        <v>2465.2751728160001</v>
      </c>
      <c r="I42" s="100">
        <v>0.12989849520091817</v>
      </c>
      <c r="J42" s="69">
        <v>135015.824846995</v>
      </c>
      <c r="K42" s="19">
        <v>3037.8226500750002</v>
      </c>
      <c r="L42" s="19">
        <v>0</v>
      </c>
      <c r="M42" s="19">
        <v>0</v>
      </c>
      <c r="N42" s="19">
        <v>0</v>
      </c>
      <c r="O42" s="96">
        <v>0.13721829550540371</v>
      </c>
      <c r="P42" s="19">
        <v>-416.84484609100002</v>
      </c>
      <c r="Q42" s="19">
        <v>859.70827163599995</v>
      </c>
      <c r="R42" s="19">
        <v>62.7363024</v>
      </c>
      <c r="S42" s="19">
        <v>-7.084565295</v>
      </c>
      <c r="T42" s="19">
        <v>0</v>
      </c>
      <c r="U42" s="19">
        <v>0</v>
      </c>
      <c r="V42" s="19">
        <v>0</v>
      </c>
      <c r="W42" s="63">
        <v>3531.05767457</v>
      </c>
      <c r="X42" s="58">
        <f t="shared" si="0"/>
        <v>138546.88252156501</v>
      </c>
      <c r="Y42" s="18">
        <v>37</v>
      </c>
    </row>
    <row r="43" spans="1:25" s="13" customFormat="1" x14ac:dyDescent="0.25">
      <c r="A43" s="18">
        <v>38</v>
      </c>
      <c r="B43" s="57" t="s">
        <v>145</v>
      </c>
      <c r="C43" s="103">
        <f>VLOOKUP(B43,'CUG List'!B:F,5,FALSE)</f>
        <v>28</v>
      </c>
      <c r="D43" s="32">
        <v>4943.2900013999997</v>
      </c>
      <c r="E43" s="32">
        <v>-535.02166696899997</v>
      </c>
      <c r="F43" s="32">
        <v>4852.9830805000001</v>
      </c>
      <c r="G43" s="20">
        <v>697.37380405800002</v>
      </c>
      <c r="H43" s="19">
        <v>10635.956705838</v>
      </c>
      <c r="I43" s="100">
        <v>0.14370002789833547</v>
      </c>
      <c r="J43" s="69">
        <v>266586.76407628198</v>
      </c>
      <c r="K43" s="19">
        <v>0</v>
      </c>
      <c r="L43" s="19">
        <v>0</v>
      </c>
      <c r="M43" s="19">
        <v>0</v>
      </c>
      <c r="N43" s="19">
        <v>0</v>
      </c>
      <c r="O43" s="96">
        <v>0</v>
      </c>
      <c r="P43" s="19">
        <v>0</v>
      </c>
      <c r="Q43" s="19">
        <v>-739.14066634000005</v>
      </c>
      <c r="R43" s="19">
        <v>2346.2515361589999</v>
      </c>
      <c r="S43" s="19">
        <v>-35.759094652000002</v>
      </c>
      <c r="T43" s="19">
        <v>0</v>
      </c>
      <c r="U43" s="19">
        <v>0</v>
      </c>
      <c r="V43" s="19">
        <v>0</v>
      </c>
      <c r="W43" s="63">
        <v>1549.7864478690001</v>
      </c>
      <c r="X43" s="58">
        <f t="shared" si="0"/>
        <v>268136.55052415095</v>
      </c>
      <c r="Y43" s="18">
        <v>38</v>
      </c>
    </row>
    <row r="44" spans="1:25" s="13" customFormat="1" x14ac:dyDescent="0.25">
      <c r="A44" s="16">
        <v>39</v>
      </c>
      <c r="B44" s="187" t="s">
        <v>179</v>
      </c>
      <c r="C44" s="188"/>
      <c r="D44" s="34">
        <v>0</v>
      </c>
      <c r="E44" s="34">
        <v>0</v>
      </c>
      <c r="F44" s="34">
        <v>0</v>
      </c>
      <c r="G44" s="62">
        <v>0</v>
      </c>
      <c r="H44" s="21">
        <v>0</v>
      </c>
      <c r="I44" s="99">
        <v>0</v>
      </c>
      <c r="J44" s="67">
        <v>0</v>
      </c>
      <c r="K44" s="21">
        <v>0</v>
      </c>
      <c r="L44" s="21">
        <v>0</v>
      </c>
      <c r="M44" s="21">
        <v>0</v>
      </c>
      <c r="N44" s="21">
        <v>0</v>
      </c>
      <c r="O44" s="95">
        <v>0</v>
      </c>
      <c r="P44" s="21">
        <v>0</v>
      </c>
      <c r="Q44" s="21">
        <v>0</v>
      </c>
      <c r="R44" s="21">
        <v>0</v>
      </c>
      <c r="S44" s="21">
        <v>0</v>
      </c>
      <c r="T44" s="21">
        <v>0</v>
      </c>
      <c r="U44" s="21">
        <v>0</v>
      </c>
      <c r="V44" s="21">
        <v>0</v>
      </c>
      <c r="W44" s="66">
        <v>0</v>
      </c>
      <c r="X44" s="59">
        <f t="shared" ref="X44:X54" si="1">W44+J44</f>
        <v>0</v>
      </c>
      <c r="Y44" s="16">
        <v>39</v>
      </c>
    </row>
    <row r="45" spans="1:25" s="13" customFormat="1" x14ac:dyDescent="0.25">
      <c r="A45" s="18">
        <v>40</v>
      </c>
      <c r="B45" s="6" t="s">
        <v>150</v>
      </c>
      <c r="C45" s="103">
        <f>VLOOKUP(B45,'CUG List'!B:F,5,FALSE)</f>
        <v>7.5</v>
      </c>
      <c r="D45" s="32">
        <v>0</v>
      </c>
      <c r="E45" s="32">
        <v>0</v>
      </c>
      <c r="F45" s="32">
        <v>0</v>
      </c>
      <c r="G45" s="20">
        <v>0</v>
      </c>
      <c r="H45" s="19">
        <v>0</v>
      </c>
      <c r="I45" s="100">
        <v>0</v>
      </c>
      <c r="J45" s="69">
        <v>0</v>
      </c>
      <c r="K45" s="19">
        <v>0</v>
      </c>
      <c r="L45" s="19">
        <v>0</v>
      </c>
      <c r="M45" s="19">
        <v>0</v>
      </c>
      <c r="N45" s="19">
        <v>0</v>
      </c>
      <c r="O45" s="96">
        <v>0</v>
      </c>
      <c r="P45" s="19">
        <v>0</v>
      </c>
      <c r="Q45" s="19">
        <v>0</v>
      </c>
      <c r="R45" s="19">
        <v>0</v>
      </c>
      <c r="S45" s="19">
        <v>0</v>
      </c>
      <c r="T45" s="19">
        <v>0</v>
      </c>
      <c r="U45" s="19">
        <v>0</v>
      </c>
      <c r="V45" s="19">
        <v>0</v>
      </c>
      <c r="W45" s="63">
        <v>0</v>
      </c>
      <c r="X45" s="58">
        <f t="shared" si="1"/>
        <v>0</v>
      </c>
      <c r="Y45" s="18">
        <v>40</v>
      </c>
    </row>
    <row r="46" spans="1:25" s="13" customFormat="1" x14ac:dyDescent="0.25">
      <c r="A46" s="16">
        <v>41</v>
      </c>
      <c r="B46" s="187" t="s">
        <v>180</v>
      </c>
      <c r="C46" s="188"/>
      <c r="D46" s="34">
        <v>209190.12000016798</v>
      </c>
      <c r="E46" s="34">
        <v>-8390.2461944140014</v>
      </c>
      <c r="F46" s="34">
        <v>222286.18552200001</v>
      </c>
      <c r="G46" s="62">
        <v>23978.932247618002</v>
      </c>
      <c r="H46" s="21">
        <v>766863.63132245804</v>
      </c>
      <c r="I46" s="99">
        <v>0.10787414517599327</v>
      </c>
      <c r="J46" s="67">
        <v>10817110.905067651</v>
      </c>
      <c r="K46" s="21">
        <v>174970.37930634999</v>
      </c>
      <c r="L46" s="21">
        <v>0</v>
      </c>
      <c r="M46" s="21">
        <v>57.0396225</v>
      </c>
      <c r="N46" s="21">
        <v>966.54369999999994</v>
      </c>
      <c r="O46" s="95">
        <v>9.2083634337229173E-2</v>
      </c>
      <c r="P46" s="21">
        <v>-16206.163700274999</v>
      </c>
      <c r="Q46" s="21">
        <v>-38360.091961175</v>
      </c>
      <c r="R46" s="21">
        <v>13512.131985566</v>
      </c>
      <c r="S46" s="21">
        <v>-418.92311583000003</v>
      </c>
      <c r="T46" s="21">
        <v>0</v>
      </c>
      <c r="U46" s="21">
        <v>0</v>
      </c>
      <c r="V46" s="21">
        <v>68181.233539868001</v>
      </c>
      <c r="W46" s="66">
        <v>202669.57429750002</v>
      </c>
      <c r="X46" s="59">
        <f t="shared" si="1"/>
        <v>11019780.479365151</v>
      </c>
      <c r="Y46" s="16">
        <v>41</v>
      </c>
    </row>
    <row r="47" spans="1:25" s="17" customFormat="1" x14ac:dyDescent="0.25">
      <c r="A47" s="18">
        <v>42</v>
      </c>
      <c r="B47" s="57" t="s">
        <v>167</v>
      </c>
      <c r="C47" s="103">
        <f>VLOOKUP(B47,'CUG List'!B:F,5,FALSE)</f>
        <v>620</v>
      </c>
      <c r="D47" s="32">
        <v>124136.150000172</v>
      </c>
      <c r="E47" s="32">
        <v>-7294.1604526170004</v>
      </c>
      <c r="F47" s="32">
        <v>131498.70652199999</v>
      </c>
      <c r="G47" s="20">
        <v>16685.735004858001</v>
      </c>
      <c r="H47" s="19">
        <v>514405.13297138701</v>
      </c>
      <c r="I47" s="100">
        <v>0.12688896679045619</v>
      </c>
      <c r="J47" s="69">
        <v>6719986.5491192602</v>
      </c>
      <c r="K47" s="19">
        <v>21926.976264925001</v>
      </c>
      <c r="L47" s="19">
        <v>0</v>
      </c>
      <c r="M47" s="19">
        <v>57.0396225</v>
      </c>
      <c r="N47" s="19">
        <v>966.54369999999994</v>
      </c>
      <c r="O47" s="96">
        <v>0.21227088902334679</v>
      </c>
      <c r="P47" s="19">
        <v>-4871.735687206</v>
      </c>
      <c r="Q47" s="19">
        <v>-27930.436251719999</v>
      </c>
      <c r="R47" s="19">
        <v>3220.4166010489998</v>
      </c>
      <c r="S47" s="19">
        <v>-384.240514937</v>
      </c>
      <c r="T47" s="19">
        <v>0</v>
      </c>
      <c r="U47" s="19">
        <v>0</v>
      </c>
      <c r="V47" s="19">
        <v>36076.619307451001</v>
      </c>
      <c r="W47" s="63">
        <v>29031.067652572001</v>
      </c>
      <c r="X47" s="58">
        <f t="shared" si="1"/>
        <v>6749017.6167718321</v>
      </c>
      <c r="Y47" s="18">
        <v>42</v>
      </c>
    </row>
    <row r="48" spans="1:25" s="13" customFormat="1" x14ac:dyDescent="0.25">
      <c r="A48" s="18">
        <v>43</v>
      </c>
      <c r="B48" s="57" t="s">
        <v>168</v>
      </c>
      <c r="C48" s="103">
        <f>VLOOKUP(B48,'CUG List'!B:F,5,FALSE)</f>
        <v>332.28</v>
      </c>
      <c r="D48" s="33">
        <v>85053.969999995999</v>
      </c>
      <c r="E48" s="33">
        <v>-1096.0857417970001</v>
      </c>
      <c r="F48" s="33">
        <v>90787.479000000007</v>
      </c>
      <c r="G48" s="23">
        <v>7293.1972427600003</v>
      </c>
      <c r="H48" s="22">
        <v>252458.498351071</v>
      </c>
      <c r="I48" s="101">
        <v>8.0332633124001601E-2</v>
      </c>
      <c r="J48" s="70">
        <v>4097124.35594839</v>
      </c>
      <c r="K48" s="22">
        <v>153043.40304142499</v>
      </c>
      <c r="L48" s="22">
        <v>0</v>
      </c>
      <c r="M48" s="22">
        <v>0</v>
      </c>
      <c r="N48" s="22">
        <v>0</v>
      </c>
      <c r="O48" s="97">
        <v>7.4060219439847766E-2</v>
      </c>
      <c r="P48" s="22">
        <v>-11334.428013069</v>
      </c>
      <c r="Q48" s="22">
        <v>-10429.655709455001</v>
      </c>
      <c r="R48" s="22">
        <v>10291.715384517</v>
      </c>
      <c r="S48" s="22">
        <v>-34.682600893</v>
      </c>
      <c r="T48" s="22">
        <v>0</v>
      </c>
      <c r="U48" s="22">
        <v>0</v>
      </c>
      <c r="V48" s="22">
        <v>32104.614232417</v>
      </c>
      <c r="W48" s="65">
        <v>173638.50664492801</v>
      </c>
      <c r="X48" s="58">
        <f t="shared" si="1"/>
        <v>4270762.8625933183</v>
      </c>
      <c r="Y48" s="18">
        <v>43</v>
      </c>
    </row>
    <row r="49" spans="1:26" s="13" customFormat="1" x14ac:dyDescent="0.25">
      <c r="A49" s="16">
        <v>44</v>
      </c>
      <c r="B49" s="187" t="s">
        <v>218</v>
      </c>
      <c r="C49" s="188"/>
      <c r="D49" s="34">
        <v>205920.14000028002</v>
      </c>
      <c r="E49" s="34">
        <v>-6584.6681256259999</v>
      </c>
      <c r="F49" s="34">
        <v>201752.878052404</v>
      </c>
      <c r="G49" s="62">
        <v>14841.101877837002</v>
      </c>
      <c r="H49" s="21">
        <v>652777.46742930298</v>
      </c>
      <c r="I49" s="99">
        <v>7.3560793883605077E-2</v>
      </c>
      <c r="J49" s="67">
        <v>7823415.5759856198</v>
      </c>
      <c r="K49" s="21">
        <v>0</v>
      </c>
      <c r="L49" s="21">
        <v>0</v>
      </c>
      <c r="M49" s="21">
        <v>0</v>
      </c>
      <c r="N49" s="21">
        <v>0</v>
      </c>
      <c r="O49" s="95">
        <v>0</v>
      </c>
      <c r="P49" s="21">
        <v>0</v>
      </c>
      <c r="Q49" s="21">
        <v>-10.841020544999992</v>
      </c>
      <c r="R49" s="21">
        <v>0</v>
      </c>
      <c r="S49" s="21">
        <v>-1040.485615523</v>
      </c>
      <c r="T49" s="21">
        <v>0</v>
      </c>
      <c r="U49" s="21">
        <v>0</v>
      </c>
      <c r="V49" s="21">
        <v>0</v>
      </c>
      <c r="W49" s="66">
        <v>-2321.1710713329999</v>
      </c>
      <c r="X49" s="59">
        <f t="shared" si="1"/>
        <v>7821094.4049142869</v>
      </c>
      <c r="Y49" s="16">
        <v>44</v>
      </c>
    </row>
    <row r="50" spans="1:26" s="17" customFormat="1" x14ac:dyDescent="0.25">
      <c r="A50" s="18">
        <v>45</v>
      </c>
      <c r="B50" s="57" t="s">
        <v>214</v>
      </c>
      <c r="C50" s="103">
        <f>VLOOKUP(B50,'CUG List'!B:F,5,FALSE)</f>
        <v>135</v>
      </c>
      <c r="D50" s="32">
        <v>23676.800000015999</v>
      </c>
      <c r="E50" s="32">
        <v>3421.1929519360001</v>
      </c>
      <c r="F50" s="32">
        <v>28735.812000000002</v>
      </c>
      <c r="G50" s="20">
        <v>2672.5233423519999</v>
      </c>
      <c r="H50" s="19">
        <v>30269.896094426</v>
      </c>
      <c r="I50" s="100">
        <v>9.3003230336835441E-2</v>
      </c>
      <c r="J50" s="69">
        <v>1173359.6960351099</v>
      </c>
      <c r="K50" s="19">
        <v>0</v>
      </c>
      <c r="L50" s="19">
        <v>0</v>
      </c>
      <c r="M50" s="19">
        <v>0</v>
      </c>
      <c r="N50" s="19">
        <v>0</v>
      </c>
      <c r="O50" s="96">
        <v>0</v>
      </c>
      <c r="P50" s="19">
        <v>0</v>
      </c>
      <c r="Q50" s="19">
        <v>-394.90003190900001</v>
      </c>
      <c r="R50" s="19">
        <v>0</v>
      </c>
      <c r="S50" s="19">
        <v>-74.654616422999993</v>
      </c>
      <c r="T50" s="19">
        <v>0</v>
      </c>
      <c r="U50" s="19">
        <v>0</v>
      </c>
      <c r="V50" s="19">
        <v>0</v>
      </c>
      <c r="W50" s="63">
        <v>-635.47872694499995</v>
      </c>
      <c r="X50" s="58">
        <f t="shared" si="1"/>
        <v>1172724.217308165</v>
      </c>
      <c r="Y50" s="18">
        <v>45</v>
      </c>
    </row>
    <row r="51" spans="1:26" s="17" customFormat="1" x14ac:dyDescent="0.25">
      <c r="A51" s="18">
        <v>46</v>
      </c>
      <c r="B51" s="57" t="s">
        <v>216</v>
      </c>
      <c r="C51" s="103">
        <f>VLOOKUP(B51,'CUG List'!B:F,5,FALSE)</f>
        <v>240</v>
      </c>
      <c r="D51" s="32">
        <v>161058.93999874801</v>
      </c>
      <c r="E51" s="32">
        <v>-10090.632263187001</v>
      </c>
      <c r="F51" s="32">
        <v>150364.98755379999</v>
      </c>
      <c r="G51" s="20">
        <v>9695.8570224790001</v>
      </c>
      <c r="H51" s="19">
        <v>566385.82741427503</v>
      </c>
      <c r="I51" s="100">
        <v>6.4482145612587249E-2</v>
      </c>
      <c r="J51" s="69">
        <v>5801009.9553068997</v>
      </c>
      <c r="K51" s="19">
        <v>0</v>
      </c>
      <c r="L51" s="19">
        <v>0</v>
      </c>
      <c r="M51" s="19">
        <v>0</v>
      </c>
      <c r="N51" s="19">
        <v>0</v>
      </c>
      <c r="O51" s="96">
        <v>0</v>
      </c>
      <c r="P51" s="19">
        <v>0</v>
      </c>
      <c r="Q51" s="19">
        <v>470.47658123600002</v>
      </c>
      <c r="R51" s="19">
        <v>0</v>
      </c>
      <c r="S51" s="19">
        <v>-983.42503132800005</v>
      </c>
      <c r="T51" s="19">
        <v>0</v>
      </c>
      <c r="U51" s="19">
        <v>0</v>
      </c>
      <c r="V51" s="19">
        <v>0</v>
      </c>
      <c r="W51" s="63">
        <v>-1397.4291064930001</v>
      </c>
      <c r="X51" s="58">
        <f t="shared" si="1"/>
        <v>5799612.5262004072</v>
      </c>
      <c r="Y51" s="18">
        <v>46</v>
      </c>
    </row>
    <row r="52" spans="1:26" s="17" customFormat="1" x14ac:dyDescent="0.25">
      <c r="A52" s="18">
        <v>47</v>
      </c>
      <c r="B52" s="57" t="s">
        <v>217</v>
      </c>
      <c r="C52" s="103">
        <f>VLOOKUP(B52,'CUG List'!B:F,5,FALSE)</f>
        <v>63.75</v>
      </c>
      <c r="D52" s="32">
        <v>19110.399999996</v>
      </c>
      <c r="E52" s="32">
        <v>-15.835102671</v>
      </c>
      <c r="F52" s="32">
        <v>19048.615499832002</v>
      </c>
      <c r="G52" s="20">
        <v>757.96123807100003</v>
      </c>
      <c r="H52" s="19">
        <v>-640.58465585900001</v>
      </c>
      <c r="I52" s="100">
        <v>3.9790883388752578E-2</v>
      </c>
      <c r="J52" s="69">
        <v>712051.48651977</v>
      </c>
      <c r="K52" s="19">
        <v>0</v>
      </c>
      <c r="L52" s="19">
        <v>0</v>
      </c>
      <c r="M52" s="19">
        <v>0</v>
      </c>
      <c r="N52" s="19">
        <v>0</v>
      </c>
      <c r="O52" s="96">
        <v>0</v>
      </c>
      <c r="P52" s="19">
        <v>0</v>
      </c>
      <c r="Q52" s="19">
        <v>-80.282972489000002</v>
      </c>
      <c r="R52" s="19">
        <v>0</v>
      </c>
      <c r="S52" s="19">
        <v>60.308891039000002</v>
      </c>
      <c r="T52" s="19">
        <v>0</v>
      </c>
      <c r="U52" s="19">
        <v>0</v>
      </c>
      <c r="V52" s="19">
        <v>0</v>
      </c>
      <c r="W52" s="63">
        <v>-225.543006983</v>
      </c>
      <c r="X52" s="58">
        <f t="shared" si="1"/>
        <v>711825.94351278699</v>
      </c>
      <c r="Y52" s="18">
        <v>47</v>
      </c>
    </row>
    <row r="53" spans="1:26" s="17" customFormat="1" ht="15.75" thickBot="1" x14ac:dyDescent="0.3">
      <c r="A53" s="18">
        <v>48</v>
      </c>
      <c r="B53" s="57" t="s">
        <v>215</v>
      </c>
      <c r="C53" s="103">
        <f>VLOOKUP(B53,'CUG List'!B:F,5,FALSE)</f>
        <v>56.2</v>
      </c>
      <c r="D53" s="32">
        <v>2074.0000015199998</v>
      </c>
      <c r="E53" s="32">
        <v>100.606288296</v>
      </c>
      <c r="F53" s="32">
        <v>3603.462998772</v>
      </c>
      <c r="G53" s="20">
        <v>1714.7602749350001</v>
      </c>
      <c r="H53" s="19">
        <v>56762.328576460997</v>
      </c>
      <c r="I53" s="100">
        <v>0.47586454350144897</v>
      </c>
      <c r="J53" s="69">
        <v>136994.43812383999</v>
      </c>
      <c r="K53" s="19">
        <v>0</v>
      </c>
      <c r="L53" s="19">
        <v>0</v>
      </c>
      <c r="M53" s="19">
        <v>0</v>
      </c>
      <c r="N53" s="19">
        <v>0</v>
      </c>
      <c r="O53" s="96">
        <v>0</v>
      </c>
      <c r="P53" s="19">
        <v>0</v>
      </c>
      <c r="Q53" s="19">
        <v>-6.134597383</v>
      </c>
      <c r="R53" s="19">
        <v>0</v>
      </c>
      <c r="S53" s="19">
        <v>-42.714858810999999</v>
      </c>
      <c r="T53" s="19">
        <v>0</v>
      </c>
      <c r="U53" s="19">
        <v>0</v>
      </c>
      <c r="V53" s="19">
        <v>0</v>
      </c>
      <c r="W53" s="63">
        <v>-62.720230911999998</v>
      </c>
      <c r="X53" s="58">
        <f t="shared" si="1"/>
        <v>136931.71789292799</v>
      </c>
      <c r="Y53" s="18">
        <v>48</v>
      </c>
    </row>
    <row r="54" spans="1:26" s="17" customFormat="1" ht="15.75" thickBot="1" x14ac:dyDescent="0.3">
      <c r="A54" s="195" t="s">
        <v>8</v>
      </c>
      <c r="B54" s="196"/>
      <c r="C54" s="197"/>
      <c r="D54" s="110">
        <v>778852.79000882397</v>
      </c>
      <c r="E54" s="110">
        <v>-78378.01790774602</v>
      </c>
      <c r="F54" s="110">
        <v>733949.87454790412</v>
      </c>
      <c r="G54" s="112">
        <v>55094.356077587996</v>
      </c>
      <c r="H54" s="111">
        <v>1885001.1109955749</v>
      </c>
      <c r="I54" s="102">
        <v>7.5065556910851469E-2</v>
      </c>
      <c r="J54" s="68">
        <v>35004475.469993629</v>
      </c>
      <c r="K54" s="24">
        <v>601442.50939294999</v>
      </c>
      <c r="L54" s="24">
        <v>516912.07464367501</v>
      </c>
      <c r="M54" s="24">
        <v>12276.0856028</v>
      </c>
      <c r="N54" s="24">
        <v>1652.7679045999998</v>
      </c>
      <c r="O54" s="98">
        <v>5.3097267361225005E-2</v>
      </c>
      <c r="P54" s="24">
        <v>-60121.156411962002</v>
      </c>
      <c r="Q54" s="24">
        <v>-68945.940177336</v>
      </c>
      <c r="R54" s="24">
        <v>39848.46193949999</v>
      </c>
      <c r="S54" s="24">
        <v>-2226.6544411619998</v>
      </c>
      <c r="T54" s="24">
        <v>0</v>
      </c>
      <c r="U54" s="24">
        <v>0</v>
      </c>
      <c r="V54" s="24">
        <v>123259.75658798599</v>
      </c>
      <c r="W54" s="64">
        <v>1162370.8479223331</v>
      </c>
      <c r="X54" s="93">
        <f t="shared" si="1"/>
        <v>36166846.317915961</v>
      </c>
      <c r="Y54" s="94"/>
    </row>
    <row r="55" spans="1:26" ht="15.75" thickBot="1" x14ac:dyDescent="0.3">
      <c r="A55" s="81"/>
      <c r="B55" s="9"/>
      <c r="E55" s="105"/>
      <c r="J55" s="27"/>
      <c r="Z55" s="9"/>
    </row>
    <row r="56" spans="1:26" ht="15" customHeight="1" thickBot="1" x14ac:dyDescent="0.3">
      <c r="A56" s="81"/>
      <c r="B56" s="185" t="s">
        <v>41</v>
      </c>
      <c r="C56" s="186"/>
      <c r="D56" s="186"/>
      <c r="E56" s="186"/>
      <c r="F56" s="186"/>
      <c r="G56" s="60"/>
      <c r="H56" s="203" t="s">
        <v>33</v>
      </c>
      <c r="I56" s="204"/>
      <c r="J56" s="204"/>
      <c r="K56" s="204"/>
      <c r="L56" s="204"/>
      <c r="M56" s="204"/>
      <c r="N56" s="204"/>
      <c r="O56" s="204"/>
      <c r="P56" s="204"/>
      <c r="Q56" s="204"/>
      <c r="R56" s="204"/>
      <c r="S56" s="204"/>
      <c r="T56" s="204"/>
      <c r="U56" s="204"/>
      <c r="V56" s="204"/>
      <c r="W56" s="205"/>
      <c r="X56" s="9"/>
      <c r="Y56" s="9"/>
      <c r="Z56" s="9"/>
    </row>
    <row r="57" spans="1:26" s="6" customFormat="1" ht="15.75" customHeight="1" x14ac:dyDescent="0.25">
      <c r="A57" s="82"/>
      <c r="B57" s="46" t="s">
        <v>42</v>
      </c>
      <c r="C57" s="183" t="s">
        <v>43</v>
      </c>
      <c r="D57" s="184"/>
      <c r="E57" s="184"/>
      <c r="F57" s="184"/>
      <c r="G57" s="61"/>
      <c r="H57" s="45" t="s">
        <v>34</v>
      </c>
      <c r="I57" s="165" t="s">
        <v>35</v>
      </c>
      <c r="J57" s="166"/>
      <c r="K57" s="169"/>
      <c r="L57" s="165" t="s">
        <v>36</v>
      </c>
      <c r="M57" s="166"/>
      <c r="N57" s="166"/>
      <c r="O57" s="166"/>
      <c r="P57" s="166"/>
      <c r="Q57" s="166"/>
      <c r="R57" s="166"/>
      <c r="S57" s="166"/>
      <c r="T57" s="166"/>
      <c r="U57" s="166"/>
      <c r="V57" s="166"/>
      <c r="W57" s="167"/>
    </row>
    <row r="58" spans="1:26" s="6" customFormat="1" ht="16.5" customHeight="1" x14ac:dyDescent="0.25">
      <c r="A58" s="82"/>
      <c r="B58" s="47" t="s">
        <v>176</v>
      </c>
      <c r="C58" s="180" t="s">
        <v>177</v>
      </c>
      <c r="D58" s="181"/>
      <c r="E58" s="181"/>
      <c r="F58" s="182"/>
      <c r="G58" s="61"/>
      <c r="H58" s="75" t="s">
        <v>22</v>
      </c>
      <c r="I58" s="168" t="s">
        <v>244</v>
      </c>
      <c r="J58" s="168"/>
      <c r="K58" s="168"/>
      <c r="L58" s="114" t="s">
        <v>246</v>
      </c>
      <c r="M58" s="115"/>
      <c r="N58" s="115"/>
      <c r="O58" s="115"/>
      <c r="P58" s="115"/>
      <c r="Q58" s="115"/>
      <c r="R58" s="115"/>
      <c r="S58" s="115"/>
      <c r="T58" s="115"/>
      <c r="U58" s="115"/>
      <c r="V58" s="115"/>
      <c r="W58" s="116"/>
    </row>
    <row r="59" spans="1:26" s="6" customFormat="1" ht="15.75" customHeight="1" x14ac:dyDescent="0.25">
      <c r="A59" s="82"/>
      <c r="B59" s="47" t="s">
        <v>45</v>
      </c>
      <c r="C59" s="180" t="s">
        <v>46</v>
      </c>
      <c r="D59" s="181"/>
      <c r="E59" s="181"/>
      <c r="F59" s="182"/>
      <c r="G59" s="61"/>
      <c r="H59" s="80" t="s">
        <v>23</v>
      </c>
      <c r="I59" s="168" t="s">
        <v>245</v>
      </c>
      <c r="J59" s="168"/>
      <c r="K59" s="168"/>
      <c r="L59" s="114" t="s">
        <v>247</v>
      </c>
      <c r="M59" s="115"/>
      <c r="N59" s="115"/>
      <c r="O59" s="115"/>
      <c r="P59" s="115"/>
      <c r="Q59" s="115"/>
      <c r="R59" s="115"/>
      <c r="S59" s="115"/>
      <c r="T59" s="115"/>
      <c r="U59" s="115"/>
      <c r="V59" s="115"/>
      <c r="W59" s="116"/>
    </row>
    <row r="60" spans="1:26" s="6" customFormat="1" ht="17.25" customHeight="1" x14ac:dyDescent="0.25">
      <c r="A60" s="82"/>
      <c r="B60" s="47" t="s">
        <v>233</v>
      </c>
      <c r="C60" s="180" t="s">
        <v>239</v>
      </c>
      <c r="D60" s="181"/>
      <c r="E60" s="181"/>
      <c r="F60" s="182"/>
      <c r="G60" s="5"/>
      <c r="H60" s="78" t="s">
        <v>24</v>
      </c>
      <c r="I60" s="168" t="s">
        <v>74</v>
      </c>
      <c r="J60" s="168"/>
      <c r="K60" s="168"/>
      <c r="L60" s="114" t="s">
        <v>39</v>
      </c>
      <c r="M60" s="115"/>
      <c r="N60" s="115"/>
      <c r="O60" s="115"/>
      <c r="P60" s="115"/>
      <c r="Q60" s="115"/>
      <c r="R60" s="115"/>
      <c r="S60" s="115"/>
      <c r="T60" s="115"/>
      <c r="U60" s="115"/>
      <c r="V60" s="115"/>
      <c r="W60" s="116"/>
    </row>
    <row r="61" spans="1:26" s="6" customFormat="1" ht="16.5" customHeight="1" x14ac:dyDescent="0.25">
      <c r="A61" s="82"/>
      <c r="B61" s="47" t="s">
        <v>65</v>
      </c>
      <c r="C61" s="180" t="s">
        <v>66</v>
      </c>
      <c r="D61" s="181"/>
      <c r="E61" s="181"/>
      <c r="F61" s="182"/>
      <c r="G61" s="5"/>
      <c r="H61" s="80" t="s">
        <v>25</v>
      </c>
      <c r="I61" s="170" t="s">
        <v>6</v>
      </c>
      <c r="J61" s="171"/>
      <c r="K61" s="172"/>
      <c r="L61" s="114" t="s">
        <v>37</v>
      </c>
      <c r="M61" s="115"/>
      <c r="N61" s="115"/>
      <c r="O61" s="115"/>
      <c r="P61" s="115"/>
      <c r="Q61" s="115"/>
      <c r="R61" s="115"/>
      <c r="S61" s="115"/>
      <c r="T61" s="115"/>
      <c r="U61" s="115"/>
      <c r="V61" s="115"/>
      <c r="W61" s="116"/>
    </row>
    <row r="62" spans="1:26" s="6" customFormat="1" ht="16.5" customHeight="1" x14ac:dyDescent="0.25">
      <c r="A62" s="82"/>
      <c r="B62" s="47" t="s">
        <v>69</v>
      </c>
      <c r="C62" s="180" t="s">
        <v>72</v>
      </c>
      <c r="D62" s="181"/>
      <c r="E62" s="181"/>
      <c r="F62" s="182"/>
      <c r="G62" s="5"/>
      <c r="H62" s="78" t="s">
        <v>26</v>
      </c>
      <c r="I62" s="168" t="s">
        <v>5</v>
      </c>
      <c r="J62" s="168"/>
      <c r="K62" s="168"/>
      <c r="L62" s="114" t="s">
        <v>248</v>
      </c>
      <c r="M62" s="115"/>
      <c r="N62" s="115"/>
      <c r="O62" s="115"/>
      <c r="P62" s="115"/>
      <c r="Q62" s="115"/>
      <c r="R62" s="115"/>
      <c r="S62" s="115"/>
      <c r="T62" s="115"/>
      <c r="U62" s="115"/>
      <c r="V62" s="115"/>
      <c r="W62" s="116"/>
    </row>
    <row r="63" spans="1:26" s="6" customFormat="1" ht="56.25" customHeight="1" thickBot="1" x14ac:dyDescent="0.3">
      <c r="A63" s="82"/>
      <c r="B63" s="48" t="s">
        <v>47</v>
      </c>
      <c r="C63" s="192" t="s">
        <v>48</v>
      </c>
      <c r="D63" s="193"/>
      <c r="E63" s="193"/>
      <c r="F63" s="194"/>
      <c r="G63" s="5"/>
      <c r="H63" s="75" t="s">
        <v>27</v>
      </c>
      <c r="I63" s="170" t="s">
        <v>223</v>
      </c>
      <c r="J63" s="171"/>
      <c r="K63" s="172"/>
      <c r="L63" s="114" t="s">
        <v>228</v>
      </c>
      <c r="M63" s="115"/>
      <c r="N63" s="115"/>
      <c r="O63" s="115"/>
      <c r="P63" s="115"/>
      <c r="Q63" s="115"/>
      <c r="R63" s="115"/>
      <c r="S63" s="115"/>
      <c r="T63" s="115"/>
      <c r="U63" s="115"/>
      <c r="V63" s="115"/>
      <c r="W63" s="116"/>
    </row>
    <row r="64" spans="1:26" s="6" customFormat="1" ht="16.5" customHeight="1" x14ac:dyDescent="0.25">
      <c r="A64" s="82"/>
      <c r="G64" s="5"/>
      <c r="H64" s="75" t="s">
        <v>28</v>
      </c>
      <c r="I64" s="202" t="s">
        <v>73</v>
      </c>
      <c r="J64" s="202"/>
      <c r="K64" s="202"/>
      <c r="L64" s="114" t="s">
        <v>40</v>
      </c>
      <c r="M64" s="115"/>
      <c r="N64" s="115"/>
      <c r="O64" s="115"/>
      <c r="P64" s="115"/>
      <c r="Q64" s="115"/>
      <c r="R64" s="115"/>
      <c r="S64" s="115"/>
      <c r="T64" s="115"/>
      <c r="U64" s="115"/>
      <c r="V64" s="115"/>
      <c r="W64" s="116"/>
    </row>
    <row r="65" spans="1:26" s="6" customFormat="1" ht="16.5" customHeight="1" x14ac:dyDescent="0.25">
      <c r="A65" s="82"/>
      <c r="G65" s="5"/>
      <c r="H65" s="75" t="s">
        <v>29</v>
      </c>
      <c r="I65" s="125" t="s">
        <v>183</v>
      </c>
      <c r="J65" s="125"/>
      <c r="K65" s="125"/>
      <c r="L65" s="114" t="s">
        <v>75</v>
      </c>
      <c r="M65" s="115"/>
      <c r="N65" s="115"/>
      <c r="O65" s="115"/>
      <c r="P65" s="115"/>
      <c r="Q65" s="115"/>
      <c r="R65" s="115"/>
      <c r="S65" s="115"/>
      <c r="T65" s="115"/>
      <c r="U65" s="115"/>
      <c r="V65" s="115"/>
      <c r="W65" s="116"/>
    </row>
    <row r="66" spans="1:26" s="6" customFormat="1" ht="16.5" customHeight="1" x14ac:dyDescent="0.25">
      <c r="A66" s="82"/>
      <c r="B66" s="189" t="s">
        <v>38</v>
      </c>
      <c r="C66" s="189"/>
      <c r="D66" s="104"/>
      <c r="E66" s="104"/>
      <c r="F66" s="27"/>
      <c r="G66" s="5"/>
      <c r="H66" s="76" t="s">
        <v>30</v>
      </c>
      <c r="I66" s="123" t="s">
        <v>184</v>
      </c>
      <c r="J66" s="123"/>
      <c r="K66" s="123"/>
      <c r="L66" s="114" t="s">
        <v>76</v>
      </c>
      <c r="M66" s="115"/>
      <c r="N66" s="115"/>
      <c r="O66" s="115"/>
      <c r="P66" s="115"/>
      <c r="Q66" s="115"/>
      <c r="R66" s="115"/>
      <c r="S66" s="115"/>
      <c r="T66" s="115"/>
      <c r="U66" s="115"/>
      <c r="V66" s="115"/>
      <c r="W66" s="116"/>
    </row>
    <row r="67" spans="1:26" s="6" customFormat="1" ht="36" customHeight="1" x14ac:dyDescent="0.25">
      <c r="A67" s="82"/>
      <c r="C67" s="26"/>
      <c r="D67" s="26"/>
      <c r="E67" s="26"/>
      <c r="F67" s="27"/>
      <c r="G67" s="5"/>
      <c r="H67" s="80" t="s">
        <v>60</v>
      </c>
      <c r="I67" s="123" t="s">
        <v>67</v>
      </c>
      <c r="J67" s="123"/>
      <c r="K67" s="123"/>
      <c r="L67" s="114" t="s">
        <v>78</v>
      </c>
      <c r="M67" s="115"/>
      <c r="N67" s="115"/>
      <c r="O67" s="115"/>
      <c r="P67" s="115"/>
      <c r="Q67" s="115"/>
      <c r="R67" s="115"/>
      <c r="S67" s="115"/>
      <c r="T67" s="115"/>
      <c r="U67" s="115"/>
      <c r="V67" s="115"/>
      <c r="W67" s="116"/>
    </row>
    <row r="68" spans="1:26" s="6" customFormat="1" ht="16.5" customHeight="1" x14ac:dyDescent="0.25">
      <c r="A68" s="82"/>
      <c r="B68" s="29"/>
      <c r="C68" s="26"/>
      <c r="D68" s="26"/>
      <c r="E68" s="26"/>
      <c r="F68" s="7"/>
      <c r="G68" s="5"/>
      <c r="H68" s="76" t="s">
        <v>61</v>
      </c>
      <c r="I68" s="123" t="s">
        <v>68</v>
      </c>
      <c r="J68" s="123"/>
      <c r="K68" s="123"/>
      <c r="L68" s="114" t="s">
        <v>77</v>
      </c>
      <c r="M68" s="115"/>
      <c r="N68" s="115"/>
      <c r="O68" s="115"/>
      <c r="P68" s="115"/>
      <c r="Q68" s="115"/>
      <c r="R68" s="115"/>
      <c r="S68" s="115"/>
      <c r="T68" s="115"/>
      <c r="U68" s="115"/>
      <c r="V68" s="115"/>
      <c r="W68" s="116"/>
    </row>
    <row r="69" spans="1:26" s="6" customFormat="1" ht="16.5" customHeight="1" x14ac:dyDescent="0.25">
      <c r="A69" s="82"/>
      <c r="B69" s="29"/>
      <c r="C69" s="26"/>
      <c r="D69" s="26"/>
      <c r="E69" s="26"/>
      <c r="F69" s="7"/>
      <c r="G69" s="5"/>
      <c r="H69" s="76" t="s">
        <v>62</v>
      </c>
      <c r="I69" s="124" t="s">
        <v>219</v>
      </c>
      <c r="J69" s="124"/>
      <c r="K69" s="124"/>
      <c r="L69" s="114" t="s">
        <v>222</v>
      </c>
      <c r="M69" s="115"/>
      <c r="N69" s="115"/>
      <c r="O69" s="115"/>
      <c r="P69" s="115"/>
      <c r="Q69" s="115"/>
      <c r="R69" s="115"/>
      <c r="S69" s="115"/>
      <c r="T69" s="115"/>
      <c r="U69" s="115"/>
      <c r="V69" s="115"/>
      <c r="W69" s="116"/>
    </row>
    <row r="70" spans="1:26" s="6" customFormat="1" ht="16.5" customHeight="1" x14ac:dyDescent="0.25">
      <c r="A70" s="82"/>
      <c r="B70" s="29"/>
      <c r="C70" s="26"/>
      <c r="D70" s="26"/>
      <c r="E70" s="26"/>
      <c r="F70" s="7"/>
      <c r="G70" s="5"/>
      <c r="H70" s="76" t="s">
        <v>63</v>
      </c>
      <c r="I70" s="124" t="s">
        <v>182</v>
      </c>
      <c r="J70" s="124"/>
      <c r="K70" s="124"/>
      <c r="L70" s="114" t="s">
        <v>187</v>
      </c>
      <c r="M70" s="115"/>
      <c r="N70" s="115"/>
      <c r="O70" s="115"/>
      <c r="P70" s="115"/>
      <c r="Q70" s="115"/>
      <c r="R70" s="115"/>
      <c r="S70" s="115"/>
      <c r="T70" s="115"/>
      <c r="U70" s="115"/>
      <c r="V70" s="115"/>
      <c r="W70" s="116"/>
    </row>
    <row r="71" spans="1:26" s="6" customFormat="1" ht="16.5" customHeight="1" x14ac:dyDescent="0.25">
      <c r="A71" s="82"/>
      <c r="C71" s="26"/>
      <c r="D71" s="26"/>
      <c r="E71" s="26"/>
      <c r="F71" s="7"/>
      <c r="G71" s="5"/>
      <c r="H71" s="80" t="s">
        <v>56</v>
      </c>
      <c r="I71" s="120" t="s">
        <v>181</v>
      </c>
      <c r="J71" s="121"/>
      <c r="K71" s="122"/>
      <c r="L71" s="114" t="s">
        <v>191</v>
      </c>
      <c r="M71" s="115"/>
      <c r="N71" s="115"/>
      <c r="O71" s="115"/>
      <c r="P71" s="115"/>
      <c r="Q71" s="115"/>
      <c r="R71" s="115"/>
      <c r="S71" s="115"/>
      <c r="T71" s="115"/>
      <c r="U71" s="115"/>
      <c r="V71" s="115"/>
      <c r="W71" s="116"/>
    </row>
    <row r="72" spans="1:26" s="6" customFormat="1" ht="15.75" x14ac:dyDescent="0.25">
      <c r="A72" s="82"/>
      <c r="C72" s="26"/>
      <c r="D72" s="26"/>
      <c r="E72" s="26"/>
      <c r="F72" s="7"/>
      <c r="G72" s="5"/>
      <c r="H72" s="76" t="s">
        <v>64</v>
      </c>
      <c r="I72" s="131" t="s">
        <v>202</v>
      </c>
      <c r="J72" s="132"/>
      <c r="K72" s="89" t="s">
        <v>204</v>
      </c>
      <c r="L72" s="114" t="s">
        <v>188</v>
      </c>
      <c r="M72" s="115"/>
      <c r="N72" s="115"/>
      <c r="O72" s="115"/>
      <c r="P72" s="115"/>
      <c r="Q72" s="115"/>
      <c r="R72" s="115"/>
      <c r="S72" s="115"/>
      <c r="T72" s="115"/>
      <c r="U72" s="115"/>
      <c r="V72" s="115"/>
      <c r="W72" s="116"/>
    </row>
    <row r="73" spans="1:26" s="6" customFormat="1" ht="32.25" customHeight="1" x14ac:dyDescent="0.25">
      <c r="A73" s="82"/>
      <c r="C73" s="26"/>
      <c r="D73" s="26"/>
      <c r="E73" s="26"/>
      <c r="F73" s="7"/>
      <c r="G73" s="5"/>
      <c r="H73" s="80" t="s">
        <v>200</v>
      </c>
      <c r="I73" s="133"/>
      <c r="J73" s="134"/>
      <c r="K73" s="89" t="s">
        <v>205</v>
      </c>
      <c r="L73" s="88" t="s">
        <v>206</v>
      </c>
      <c r="M73" s="83"/>
      <c r="N73" s="83"/>
      <c r="O73" s="91"/>
      <c r="P73" s="83"/>
      <c r="Q73" s="83"/>
      <c r="R73" s="83"/>
      <c r="S73" s="83"/>
      <c r="T73" s="83"/>
      <c r="U73" s="83"/>
      <c r="V73" s="83"/>
      <c r="W73" s="84"/>
    </row>
    <row r="74" spans="1:26" s="6" customFormat="1" ht="16.5" customHeight="1" x14ac:dyDescent="0.25">
      <c r="A74" s="82"/>
      <c r="C74" s="26"/>
      <c r="D74" s="26"/>
      <c r="E74" s="26"/>
      <c r="F74" s="7"/>
      <c r="G74" s="5"/>
      <c r="H74" s="80" t="s">
        <v>220</v>
      </c>
      <c r="I74" s="135" t="s">
        <v>203</v>
      </c>
      <c r="J74" s="136"/>
      <c r="K74" s="90" t="s">
        <v>204</v>
      </c>
      <c r="L74" s="114" t="s">
        <v>189</v>
      </c>
      <c r="M74" s="115"/>
      <c r="N74" s="115"/>
      <c r="O74" s="115"/>
      <c r="P74" s="115"/>
      <c r="Q74" s="115"/>
      <c r="R74" s="115"/>
      <c r="S74" s="115"/>
      <c r="T74" s="115"/>
      <c r="U74" s="115"/>
      <c r="V74" s="115"/>
      <c r="W74" s="116"/>
    </row>
    <row r="75" spans="1:26" s="6" customFormat="1" ht="16.5" customHeight="1" thickBot="1" x14ac:dyDescent="0.3">
      <c r="A75" s="82"/>
      <c r="C75" s="26"/>
      <c r="D75" s="26"/>
      <c r="E75" s="26"/>
      <c r="F75" s="7"/>
      <c r="G75" s="5"/>
      <c r="H75" s="79" t="s">
        <v>224</v>
      </c>
      <c r="I75" s="137"/>
      <c r="J75" s="138"/>
      <c r="K75" s="90" t="s">
        <v>205</v>
      </c>
      <c r="L75" s="114" t="s">
        <v>207</v>
      </c>
      <c r="M75" s="115"/>
      <c r="N75" s="115"/>
      <c r="O75" s="115"/>
      <c r="P75" s="115"/>
      <c r="Q75" s="115"/>
      <c r="R75" s="115"/>
      <c r="S75" s="115"/>
      <c r="T75" s="115"/>
      <c r="U75" s="115"/>
      <c r="V75" s="115"/>
      <c r="W75" s="116"/>
    </row>
    <row r="76" spans="1:26" s="6" customFormat="1" ht="16.5" customHeight="1" x14ac:dyDescent="0.25">
      <c r="A76" s="82"/>
      <c r="C76" s="26"/>
      <c r="D76" s="26"/>
      <c r="E76" s="26"/>
      <c r="F76" s="7"/>
      <c r="G76" s="5"/>
      <c r="H76" s="80" t="s">
        <v>220</v>
      </c>
      <c r="I76" s="127" t="s">
        <v>201</v>
      </c>
      <c r="J76" s="128"/>
      <c r="K76" s="129"/>
      <c r="L76" s="114" t="s">
        <v>208</v>
      </c>
      <c r="M76" s="115"/>
      <c r="N76" s="115"/>
      <c r="O76" s="115"/>
      <c r="P76" s="115"/>
      <c r="Q76" s="115"/>
      <c r="R76" s="115"/>
      <c r="S76" s="115"/>
      <c r="T76" s="115"/>
      <c r="U76" s="115"/>
      <c r="V76" s="115"/>
      <c r="W76" s="116"/>
    </row>
    <row r="77" spans="1:26" s="6" customFormat="1" ht="16.5" customHeight="1" thickBot="1" x14ac:dyDescent="0.3">
      <c r="C77" s="26"/>
      <c r="D77" s="26"/>
      <c r="E77" s="26"/>
      <c r="F77" s="7"/>
      <c r="G77" s="5"/>
      <c r="H77" s="79" t="s">
        <v>224</v>
      </c>
      <c r="I77" s="130" t="s">
        <v>71</v>
      </c>
      <c r="J77" s="130"/>
      <c r="K77" s="130"/>
      <c r="L77" s="114" t="s">
        <v>59</v>
      </c>
      <c r="M77" s="115"/>
      <c r="N77" s="115"/>
      <c r="O77" s="115"/>
      <c r="P77" s="115"/>
      <c r="Q77" s="115"/>
      <c r="R77" s="115"/>
      <c r="S77" s="115"/>
      <c r="T77" s="115"/>
      <c r="U77" s="115"/>
      <c r="V77" s="115"/>
      <c r="W77" s="116"/>
      <c r="X77" s="30"/>
      <c r="Y77" s="30"/>
      <c r="Z77" s="26"/>
    </row>
    <row r="78" spans="1:26" s="6" customFormat="1" ht="16.5" customHeight="1" thickBot="1" x14ac:dyDescent="0.3">
      <c r="C78" s="26"/>
      <c r="D78" s="26"/>
      <c r="E78" s="26"/>
      <c r="F78" s="7"/>
      <c r="G78" s="28"/>
      <c r="H78" s="79" t="s">
        <v>227</v>
      </c>
      <c r="I78" s="126" t="s">
        <v>70</v>
      </c>
      <c r="J78" s="126"/>
      <c r="K78" s="126"/>
      <c r="L78" s="117" t="s">
        <v>44</v>
      </c>
      <c r="M78" s="118"/>
      <c r="N78" s="118"/>
      <c r="O78" s="118"/>
      <c r="P78" s="118"/>
      <c r="Q78" s="118"/>
      <c r="R78" s="118"/>
      <c r="S78" s="118"/>
      <c r="T78" s="118"/>
      <c r="U78" s="118"/>
      <c r="V78" s="118"/>
      <c r="W78" s="119"/>
      <c r="X78" s="28"/>
      <c r="Y78" s="31"/>
      <c r="Z78" s="26"/>
    </row>
    <row r="79" spans="1:26" s="6" customFormat="1" ht="16.5" customHeight="1" x14ac:dyDescent="0.25">
      <c r="A79" s="26"/>
      <c r="C79" s="26"/>
      <c r="D79" s="26"/>
      <c r="E79" s="26"/>
      <c r="F79" s="7"/>
      <c r="G79" s="5"/>
      <c r="H79" s="72"/>
      <c r="I79" s="72"/>
      <c r="J79" s="77"/>
      <c r="K79" s="77"/>
      <c r="L79" s="77"/>
      <c r="M79" s="73"/>
      <c r="N79" s="28"/>
      <c r="O79" s="73"/>
      <c r="P79" s="73"/>
      <c r="Q79" s="73"/>
      <c r="R79" s="73"/>
      <c r="S79" s="73"/>
      <c r="T79" s="73"/>
      <c r="U79" s="5"/>
      <c r="X79" s="28"/>
      <c r="Y79" s="28"/>
      <c r="Z79" s="26"/>
    </row>
    <row r="80" spans="1:26" s="6" customFormat="1" ht="16.5" customHeight="1" x14ac:dyDescent="0.25">
      <c r="A80" s="26"/>
      <c r="C80" s="26"/>
      <c r="D80" s="26"/>
      <c r="E80" s="26"/>
      <c r="F80" s="7"/>
      <c r="G80" s="5"/>
      <c r="H80" s="27"/>
      <c r="I80" s="27"/>
      <c r="J80" s="28"/>
      <c r="K80" s="28"/>
      <c r="L80" s="28"/>
      <c r="M80" s="28"/>
      <c r="N80" s="28"/>
      <c r="O80" s="28"/>
      <c r="P80" s="28"/>
      <c r="Q80" s="28"/>
      <c r="R80" s="28"/>
      <c r="S80" s="28"/>
      <c r="T80" s="28"/>
      <c r="U80" s="28"/>
      <c r="V80" s="28"/>
      <c r="W80" s="28"/>
      <c r="X80" s="28"/>
      <c r="Y80" s="28"/>
      <c r="Z80" s="26"/>
    </row>
    <row r="81" spans="1:26" s="6" customFormat="1" ht="16.5" customHeight="1" x14ac:dyDescent="0.25">
      <c r="A81" s="26"/>
      <c r="C81" s="26"/>
      <c r="D81" s="26"/>
      <c r="E81" s="26"/>
      <c r="F81" s="7"/>
      <c r="G81" s="5"/>
      <c r="H81" s="27"/>
      <c r="I81" s="27"/>
      <c r="J81" s="28"/>
      <c r="K81" s="28"/>
      <c r="L81" s="28"/>
      <c r="M81" s="28"/>
      <c r="N81" s="28"/>
      <c r="O81" s="28"/>
      <c r="P81" s="28"/>
      <c r="Q81" s="28"/>
      <c r="R81" s="28"/>
      <c r="S81" s="28"/>
      <c r="T81" s="28"/>
      <c r="U81" s="28"/>
      <c r="V81" s="28"/>
      <c r="W81" s="28"/>
      <c r="X81" s="28"/>
      <c r="Y81" s="28"/>
      <c r="Z81" s="26"/>
    </row>
    <row r="82" spans="1:26" s="6" customFormat="1" ht="16.5" customHeight="1" x14ac:dyDescent="0.25">
      <c r="A82" s="26"/>
      <c r="C82" s="26"/>
      <c r="D82" s="26"/>
      <c r="E82" s="26"/>
      <c r="F82" s="7"/>
      <c r="G82" s="5"/>
      <c r="H82" s="27"/>
      <c r="I82" s="27"/>
      <c r="J82" s="28"/>
      <c r="K82" s="28"/>
      <c r="L82" s="28"/>
      <c r="M82" s="28"/>
      <c r="N82" s="28"/>
      <c r="O82" s="28"/>
      <c r="P82" s="28"/>
      <c r="Q82" s="28"/>
      <c r="R82" s="28"/>
      <c r="S82" s="28"/>
      <c r="T82" s="28"/>
      <c r="U82" s="28"/>
      <c r="V82" s="28"/>
      <c r="W82" s="28"/>
      <c r="X82" s="28"/>
      <c r="Y82" s="28"/>
      <c r="Z82" s="26"/>
    </row>
    <row r="83" spans="1:26" s="6" customFormat="1" ht="16.5" customHeight="1" x14ac:dyDescent="0.25">
      <c r="A83" s="26"/>
      <c r="C83" s="26"/>
      <c r="D83" s="26"/>
      <c r="E83" s="26"/>
      <c r="F83" s="7"/>
      <c r="G83" s="5"/>
      <c r="H83" s="27"/>
      <c r="I83" s="27"/>
      <c r="J83" s="28"/>
      <c r="K83" s="28"/>
      <c r="L83" s="28"/>
      <c r="M83" s="28"/>
      <c r="N83" s="28"/>
      <c r="O83" s="28"/>
      <c r="P83" s="28"/>
      <c r="Q83" s="28"/>
      <c r="R83" s="28"/>
      <c r="S83" s="28"/>
      <c r="T83" s="28"/>
      <c r="U83" s="28"/>
      <c r="V83" s="28"/>
      <c r="W83" s="28"/>
      <c r="X83" s="28"/>
      <c r="Y83" s="28"/>
      <c r="Z83" s="26"/>
    </row>
    <row r="84" spans="1:26" s="6" customFormat="1" ht="16.5" customHeight="1" x14ac:dyDescent="0.25">
      <c r="A84" s="26"/>
      <c r="C84" s="26"/>
      <c r="D84" s="26"/>
      <c r="E84" s="26"/>
      <c r="F84" s="27"/>
      <c r="G84" s="5"/>
      <c r="H84" s="27"/>
      <c r="I84" s="27"/>
      <c r="J84" s="28"/>
      <c r="K84" s="28"/>
      <c r="L84" s="28"/>
      <c r="M84" s="28"/>
      <c r="N84" s="28"/>
      <c r="O84" s="28"/>
      <c r="P84" s="28"/>
      <c r="Q84" s="28"/>
      <c r="R84" s="28"/>
      <c r="S84" s="28"/>
      <c r="T84" s="28"/>
      <c r="U84" s="28"/>
      <c r="V84" s="28"/>
      <c r="W84" s="28"/>
      <c r="X84" s="28"/>
      <c r="Y84" s="28"/>
      <c r="Z84" s="26"/>
    </row>
    <row r="85" spans="1:26" s="6" customFormat="1" ht="16.5" customHeight="1" x14ac:dyDescent="0.25">
      <c r="A85" s="26"/>
      <c r="C85" s="26"/>
      <c r="D85" s="26"/>
      <c r="E85" s="26"/>
      <c r="F85" s="27"/>
      <c r="G85" s="5"/>
      <c r="H85" s="27"/>
      <c r="I85" s="27"/>
      <c r="J85" s="28"/>
      <c r="K85" s="28"/>
      <c r="L85" s="28"/>
      <c r="M85" s="28"/>
      <c r="N85" s="28"/>
      <c r="O85" s="28"/>
      <c r="P85" s="28"/>
      <c r="Q85" s="28"/>
      <c r="R85" s="28"/>
      <c r="S85" s="28"/>
      <c r="T85" s="28"/>
      <c r="U85" s="28"/>
      <c r="V85" s="28"/>
      <c r="W85" s="28"/>
      <c r="X85" s="28"/>
      <c r="Y85" s="28"/>
      <c r="Z85" s="26"/>
    </row>
    <row r="86" spans="1:26" s="6" customFormat="1" x14ac:dyDescent="0.25">
      <c r="A86" s="26"/>
      <c r="C86" s="26"/>
      <c r="D86" s="26"/>
      <c r="E86" s="26"/>
      <c r="F86" s="27"/>
      <c r="G86" s="5"/>
      <c r="H86" s="27"/>
      <c r="I86" s="27"/>
      <c r="J86" s="28"/>
      <c r="K86" s="28"/>
      <c r="L86" s="28"/>
      <c r="M86" s="28"/>
      <c r="N86" s="28"/>
      <c r="O86" s="28"/>
      <c r="P86" s="28"/>
      <c r="Q86" s="28"/>
      <c r="R86" s="28"/>
      <c r="S86" s="28"/>
      <c r="T86" s="28"/>
      <c r="U86" s="28"/>
      <c r="V86" s="28"/>
      <c r="W86" s="28"/>
      <c r="X86" s="28"/>
      <c r="Y86" s="28"/>
      <c r="Z86" s="26"/>
    </row>
    <row r="87" spans="1:26" s="6" customFormat="1" x14ac:dyDescent="0.25">
      <c r="A87" s="26"/>
      <c r="C87" s="26"/>
      <c r="D87" s="26"/>
      <c r="E87" s="26"/>
      <c r="F87" s="27"/>
      <c r="G87" s="5"/>
      <c r="H87" s="27"/>
      <c r="I87" s="27"/>
      <c r="J87" s="28"/>
      <c r="K87" s="28"/>
      <c r="L87" s="28"/>
      <c r="M87" s="28"/>
      <c r="N87" s="28"/>
      <c r="O87" s="28"/>
      <c r="P87" s="28"/>
      <c r="Q87" s="28"/>
      <c r="R87" s="28"/>
      <c r="S87" s="28"/>
      <c r="T87" s="28"/>
      <c r="U87" s="28"/>
      <c r="V87" s="28"/>
      <c r="W87" s="28"/>
      <c r="X87" s="28"/>
      <c r="Y87" s="28"/>
      <c r="Z87" s="26"/>
    </row>
    <row r="88" spans="1:26" s="6" customFormat="1" x14ac:dyDescent="0.25">
      <c r="A88" s="26"/>
      <c r="C88" s="26"/>
      <c r="D88" s="26"/>
      <c r="E88" s="26"/>
      <c r="F88" s="27"/>
      <c r="G88" s="5"/>
      <c r="H88" s="27"/>
      <c r="I88" s="27"/>
      <c r="J88" s="28"/>
      <c r="K88" s="28"/>
      <c r="L88" s="28"/>
      <c r="M88" s="28"/>
      <c r="N88" s="28"/>
      <c r="O88" s="28"/>
      <c r="P88" s="28"/>
      <c r="Q88" s="28"/>
      <c r="R88" s="28"/>
      <c r="S88" s="28"/>
      <c r="T88" s="28"/>
      <c r="U88" s="28"/>
      <c r="V88" s="28"/>
      <c r="W88" s="28"/>
      <c r="X88" s="28"/>
      <c r="Y88" s="28"/>
      <c r="Z88" s="26"/>
    </row>
    <row r="89" spans="1:26" s="6" customFormat="1" ht="15" customHeight="1" x14ac:dyDescent="0.25">
      <c r="A89" s="26"/>
      <c r="C89" s="26"/>
      <c r="D89" s="26"/>
      <c r="E89" s="26"/>
      <c r="F89" s="27"/>
      <c r="G89" s="5"/>
      <c r="H89" s="27"/>
      <c r="I89" s="27"/>
      <c r="J89" s="28"/>
      <c r="K89" s="28"/>
      <c r="L89" s="28"/>
      <c r="M89" s="28"/>
      <c r="N89" s="28"/>
      <c r="O89" s="28"/>
      <c r="P89" s="28"/>
      <c r="Q89" s="28"/>
      <c r="R89" s="28"/>
      <c r="S89" s="28"/>
      <c r="T89" s="28"/>
      <c r="U89" s="28"/>
      <c r="V89" s="28"/>
      <c r="W89" s="28"/>
      <c r="X89" s="28"/>
      <c r="Y89" s="28"/>
      <c r="Z89" s="26"/>
    </row>
    <row r="90" spans="1:26" s="6" customFormat="1" x14ac:dyDescent="0.25">
      <c r="A90" s="26"/>
      <c r="C90" s="26"/>
      <c r="D90" s="26"/>
      <c r="E90" s="26"/>
      <c r="F90" s="27"/>
      <c r="G90" s="5"/>
      <c r="H90" s="27"/>
      <c r="I90" s="27"/>
      <c r="J90" s="28"/>
      <c r="K90" s="28"/>
      <c r="L90" s="28"/>
      <c r="M90" s="28"/>
      <c r="N90" s="28"/>
      <c r="O90" s="28"/>
      <c r="P90" s="28"/>
      <c r="Q90" s="28"/>
      <c r="R90" s="28"/>
      <c r="S90" s="28"/>
      <c r="T90" s="28"/>
      <c r="U90" s="28"/>
      <c r="V90" s="28"/>
      <c r="W90" s="28"/>
      <c r="X90" s="28"/>
      <c r="Y90" s="28"/>
      <c r="Z90" s="26"/>
    </row>
    <row r="91" spans="1:26" s="6" customFormat="1" x14ac:dyDescent="0.25">
      <c r="A91" s="26"/>
      <c r="C91" s="26"/>
      <c r="D91" s="26"/>
      <c r="E91" s="26"/>
      <c r="F91" s="27"/>
      <c r="G91" s="5"/>
      <c r="H91" s="27"/>
      <c r="I91" s="27"/>
      <c r="J91" s="28"/>
      <c r="K91" s="28"/>
      <c r="L91" s="28"/>
      <c r="M91" s="28"/>
      <c r="N91" s="28"/>
      <c r="O91" s="28"/>
      <c r="P91" s="28"/>
      <c r="Q91" s="28"/>
      <c r="R91" s="28"/>
      <c r="S91" s="28"/>
      <c r="T91" s="28"/>
      <c r="U91" s="28"/>
      <c r="V91" s="28"/>
      <c r="W91" s="28"/>
      <c r="X91" s="28"/>
      <c r="Y91" s="28"/>
      <c r="Z91" s="26"/>
    </row>
    <row r="92" spans="1:26" s="6" customFormat="1" x14ac:dyDescent="0.25">
      <c r="A92" s="26"/>
      <c r="C92" s="26"/>
      <c r="D92" s="26"/>
      <c r="E92" s="26"/>
      <c r="F92" s="27"/>
      <c r="G92" s="5"/>
      <c r="H92" s="27"/>
      <c r="I92" s="27"/>
      <c r="J92" s="28"/>
      <c r="K92" s="28"/>
      <c r="L92" s="28"/>
      <c r="M92" s="28"/>
      <c r="N92" s="28"/>
      <c r="O92" s="28"/>
      <c r="P92" s="28"/>
      <c r="Q92" s="28"/>
      <c r="R92" s="28"/>
      <c r="S92" s="28"/>
      <c r="T92" s="28"/>
      <c r="U92" s="28"/>
      <c r="V92" s="28"/>
      <c r="W92" s="28"/>
      <c r="X92" s="28"/>
      <c r="Y92" s="28"/>
      <c r="Z92" s="26"/>
    </row>
    <row r="93" spans="1:26" s="6" customFormat="1" x14ac:dyDescent="0.25">
      <c r="A93" s="26"/>
      <c r="C93" s="26"/>
      <c r="D93" s="26"/>
      <c r="E93" s="26"/>
      <c r="F93" s="27"/>
      <c r="G93" s="5"/>
      <c r="H93" s="27"/>
      <c r="I93" s="27"/>
      <c r="J93" s="28"/>
      <c r="K93" s="28"/>
      <c r="L93" s="28"/>
      <c r="M93" s="28"/>
      <c r="N93" s="28"/>
      <c r="O93" s="28"/>
      <c r="P93" s="28"/>
      <c r="Q93" s="28"/>
      <c r="R93" s="28"/>
      <c r="S93" s="28"/>
      <c r="T93" s="28"/>
      <c r="U93" s="28"/>
      <c r="V93" s="28"/>
      <c r="W93" s="28"/>
      <c r="X93" s="28"/>
      <c r="Y93" s="28"/>
      <c r="Z93" s="26"/>
    </row>
    <row r="94" spans="1:26" s="6" customFormat="1" x14ac:dyDescent="0.25">
      <c r="A94" s="26"/>
      <c r="C94" s="26"/>
      <c r="D94" s="26"/>
      <c r="E94" s="26"/>
      <c r="F94" s="27"/>
      <c r="G94" s="28"/>
      <c r="H94" s="27"/>
      <c r="I94" s="27"/>
      <c r="J94" s="28"/>
      <c r="K94" s="28"/>
      <c r="L94" s="28"/>
      <c r="M94" s="28"/>
      <c r="N94" s="28"/>
      <c r="O94" s="28"/>
      <c r="P94" s="28"/>
      <c r="Q94" s="28"/>
      <c r="R94" s="28"/>
      <c r="S94" s="28"/>
      <c r="T94" s="28"/>
      <c r="U94" s="28"/>
      <c r="V94" s="28"/>
      <c r="W94" s="28"/>
      <c r="X94" s="28"/>
      <c r="Y94" s="28"/>
      <c r="Z94" s="26"/>
    </row>
    <row r="95" spans="1:26" s="6" customFormat="1" x14ac:dyDescent="0.25">
      <c r="A95" s="26"/>
      <c r="C95" s="26"/>
      <c r="D95" s="26"/>
      <c r="E95" s="26"/>
      <c r="F95" s="27"/>
      <c r="G95" s="28"/>
      <c r="H95" s="27"/>
      <c r="I95" s="27"/>
      <c r="J95" s="28"/>
      <c r="K95" s="28"/>
      <c r="L95" s="28"/>
      <c r="M95" s="28"/>
      <c r="N95" s="28"/>
      <c r="O95" s="28"/>
      <c r="P95" s="28"/>
      <c r="Q95" s="28"/>
      <c r="R95" s="28"/>
      <c r="S95" s="28"/>
      <c r="T95" s="28"/>
      <c r="U95" s="28"/>
      <c r="V95" s="28"/>
      <c r="W95" s="28"/>
      <c r="X95" s="28"/>
      <c r="Y95" s="28"/>
      <c r="Z95" s="26"/>
    </row>
    <row r="96" spans="1:26" s="6" customFormat="1" x14ac:dyDescent="0.25">
      <c r="A96" s="26"/>
      <c r="C96" s="26"/>
      <c r="D96" s="26"/>
      <c r="E96" s="26"/>
      <c r="F96" s="27"/>
      <c r="G96" s="28"/>
      <c r="H96" s="27"/>
      <c r="I96" s="27"/>
      <c r="J96" s="28"/>
      <c r="K96" s="28"/>
      <c r="L96" s="28"/>
      <c r="M96" s="28"/>
      <c r="N96" s="28"/>
      <c r="O96" s="28"/>
      <c r="P96" s="28"/>
      <c r="Q96" s="28"/>
      <c r="R96" s="28"/>
      <c r="S96" s="28"/>
      <c r="T96" s="28"/>
      <c r="U96" s="28"/>
      <c r="V96" s="28"/>
      <c r="W96" s="28"/>
      <c r="X96" s="28"/>
      <c r="Y96" s="28"/>
      <c r="Z96" s="26"/>
    </row>
    <row r="97" spans="1:26" s="6" customFormat="1" x14ac:dyDescent="0.25">
      <c r="A97" s="26"/>
      <c r="C97" s="26"/>
      <c r="D97" s="26"/>
      <c r="E97" s="26"/>
      <c r="F97" s="27"/>
      <c r="G97" s="28"/>
      <c r="H97" s="27"/>
      <c r="I97" s="27"/>
      <c r="J97" s="28"/>
      <c r="K97" s="28"/>
      <c r="L97" s="28"/>
      <c r="M97" s="28"/>
      <c r="N97" s="28"/>
      <c r="O97" s="28"/>
      <c r="P97" s="28"/>
      <c r="Q97" s="28"/>
      <c r="R97" s="28"/>
      <c r="S97" s="28"/>
      <c r="T97" s="28"/>
      <c r="U97" s="28"/>
      <c r="V97" s="28"/>
      <c r="W97" s="28"/>
      <c r="X97" s="28"/>
      <c r="Y97" s="28"/>
      <c r="Z97" s="26"/>
    </row>
    <row r="98" spans="1:26" s="6" customFormat="1" x14ac:dyDescent="0.25">
      <c r="A98" s="26"/>
      <c r="C98" s="26"/>
      <c r="D98" s="26"/>
      <c r="E98" s="26"/>
      <c r="F98" s="27"/>
      <c r="G98" s="28"/>
      <c r="H98" s="27"/>
      <c r="I98" s="27"/>
      <c r="J98" s="28"/>
      <c r="K98" s="28"/>
      <c r="L98" s="28"/>
      <c r="M98" s="28"/>
      <c r="N98" s="28"/>
      <c r="O98" s="28"/>
      <c r="P98" s="28"/>
      <c r="Q98" s="28"/>
      <c r="R98" s="28"/>
      <c r="S98" s="28"/>
      <c r="T98" s="28"/>
      <c r="U98" s="28"/>
      <c r="V98" s="28"/>
      <c r="W98" s="28"/>
      <c r="X98" s="28"/>
      <c r="Y98" s="28"/>
      <c r="Z98" s="26"/>
    </row>
    <row r="99" spans="1:26" s="6" customFormat="1" x14ac:dyDescent="0.25">
      <c r="A99" s="26"/>
      <c r="C99" s="26"/>
      <c r="D99" s="26"/>
      <c r="E99" s="26"/>
      <c r="F99" s="27"/>
      <c r="G99" s="28"/>
      <c r="H99" s="27"/>
      <c r="I99" s="27"/>
      <c r="J99" s="28"/>
      <c r="K99" s="28"/>
      <c r="L99" s="28"/>
      <c r="M99" s="28"/>
      <c r="N99" s="28"/>
      <c r="O99" s="28"/>
      <c r="P99" s="28"/>
      <c r="Q99" s="28"/>
      <c r="R99" s="28"/>
      <c r="S99" s="28"/>
      <c r="T99" s="28"/>
      <c r="U99" s="28"/>
      <c r="V99" s="28"/>
      <c r="W99" s="28"/>
      <c r="X99" s="28"/>
      <c r="Y99" s="28"/>
      <c r="Z99" s="26"/>
    </row>
    <row r="100" spans="1:26" s="6" customFormat="1" x14ac:dyDescent="0.25">
      <c r="A100" s="26"/>
      <c r="C100" s="26"/>
      <c r="D100" s="26"/>
      <c r="E100" s="26"/>
      <c r="F100" s="27"/>
      <c r="G100" s="28"/>
      <c r="H100" s="27"/>
      <c r="I100" s="27"/>
      <c r="J100" s="28"/>
      <c r="K100" s="28"/>
      <c r="L100" s="28"/>
      <c r="M100" s="28"/>
      <c r="N100" s="28"/>
      <c r="O100" s="28"/>
      <c r="P100" s="28"/>
      <c r="Q100" s="28"/>
      <c r="R100" s="28"/>
      <c r="S100" s="28"/>
      <c r="T100" s="28"/>
      <c r="U100" s="28"/>
      <c r="V100" s="28"/>
      <c r="W100" s="28"/>
      <c r="X100" s="28"/>
      <c r="Y100" s="28"/>
      <c r="Z100" s="26"/>
    </row>
    <row r="101" spans="1:26" s="6" customFormat="1" x14ac:dyDescent="0.25">
      <c r="A101" s="26"/>
      <c r="C101" s="26"/>
      <c r="D101" s="26"/>
      <c r="E101" s="26"/>
      <c r="F101" s="27"/>
      <c r="G101" s="28"/>
      <c r="H101" s="27"/>
      <c r="I101" s="27"/>
      <c r="J101" s="28"/>
      <c r="K101" s="28"/>
      <c r="L101" s="28"/>
      <c r="M101" s="28"/>
      <c r="N101" s="28"/>
      <c r="O101" s="28"/>
      <c r="P101" s="28"/>
      <c r="Q101" s="28"/>
      <c r="R101" s="28"/>
      <c r="S101" s="28"/>
      <c r="T101" s="28"/>
      <c r="U101" s="28"/>
      <c r="V101" s="28"/>
      <c r="W101" s="28"/>
      <c r="X101" s="28"/>
      <c r="Y101" s="28"/>
      <c r="Z101" s="26"/>
    </row>
    <row r="102" spans="1:26" s="6" customFormat="1" x14ac:dyDescent="0.25">
      <c r="A102" s="26"/>
      <c r="C102" s="26"/>
      <c r="D102" s="26"/>
      <c r="E102" s="26"/>
      <c r="F102" s="27"/>
      <c r="G102" s="28"/>
      <c r="H102" s="27"/>
      <c r="I102" s="27"/>
      <c r="J102" s="28"/>
      <c r="K102" s="28"/>
      <c r="L102" s="28"/>
      <c r="M102" s="28"/>
      <c r="N102" s="28"/>
      <c r="O102" s="28"/>
      <c r="P102" s="28"/>
      <c r="Q102" s="28"/>
      <c r="R102" s="28"/>
      <c r="S102" s="28"/>
      <c r="T102" s="28"/>
      <c r="U102" s="28"/>
      <c r="V102" s="28"/>
      <c r="W102" s="28"/>
      <c r="X102" s="28"/>
      <c r="Y102" s="28"/>
      <c r="Z102" s="26"/>
    </row>
    <row r="103" spans="1:26" s="6" customFormat="1" x14ac:dyDescent="0.25">
      <c r="A103" s="26"/>
      <c r="C103" s="26"/>
      <c r="D103" s="26"/>
      <c r="E103" s="26"/>
      <c r="F103" s="27"/>
      <c r="G103" s="28"/>
      <c r="H103" s="27"/>
      <c r="I103" s="27"/>
      <c r="J103" s="28"/>
      <c r="K103" s="28"/>
      <c r="L103" s="28"/>
      <c r="M103" s="28"/>
      <c r="N103" s="28"/>
      <c r="O103" s="28"/>
      <c r="P103" s="28"/>
      <c r="Q103" s="28"/>
      <c r="R103" s="28"/>
      <c r="S103" s="28"/>
      <c r="T103" s="28"/>
      <c r="U103" s="28"/>
      <c r="V103" s="28"/>
      <c r="W103" s="28"/>
      <c r="X103" s="28"/>
      <c r="Y103" s="28"/>
      <c r="Z103" s="26"/>
    </row>
    <row r="104" spans="1:26" s="6" customFormat="1" x14ac:dyDescent="0.25">
      <c r="A104" s="26"/>
      <c r="C104" s="26"/>
      <c r="D104" s="26"/>
      <c r="E104" s="26"/>
      <c r="F104" s="27"/>
      <c r="G104" s="28"/>
      <c r="H104" s="27"/>
      <c r="I104" s="27"/>
      <c r="J104" s="28"/>
      <c r="K104" s="28"/>
      <c r="L104" s="28"/>
      <c r="M104" s="28"/>
      <c r="N104" s="28"/>
      <c r="O104" s="28"/>
      <c r="P104" s="28"/>
      <c r="Q104" s="28"/>
      <c r="R104" s="28"/>
      <c r="S104" s="28"/>
      <c r="T104" s="28"/>
      <c r="U104" s="28"/>
      <c r="V104" s="28"/>
      <c r="W104" s="28"/>
      <c r="X104" s="28"/>
      <c r="Y104" s="28"/>
      <c r="Z104" s="26"/>
    </row>
    <row r="105" spans="1:26" s="6" customFormat="1" x14ac:dyDescent="0.25">
      <c r="A105" s="26"/>
      <c r="C105" s="26"/>
      <c r="D105" s="26"/>
      <c r="E105" s="26"/>
      <c r="F105" s="27"/>
      <c r="G105" s="28"/>
      <c r="H105" s="27"/>
      <c r="I105" s="27"/>
      <c r="J105" s="28"/>
      <c r="K105" s="28"/>
      <c r="L105" s="28"/>
      <c r="M105" s="28"/>
      <c r="N105" s="28"/>
      <c r="O105" s="28"/>
      <c r="P105" s="28"/>
      <c r="Q105" s="28"/>
      <c r="R105" s="28"/>
      <c r="S105" s="28"/>
      <c r="T105" s="28"/>
      <c r="U105" s="28"/>
      <c r="V105" s="28"/>
      <c r="W105" s="28"/>
      <c r="X105" s="28"/>
      <c r="Y105" s="28"/>
      <c r="Z105" s="26"/>
    </row>
    <row r="106" spans="1:26" s="6" customFormat="1" x14ac:dyDescent="0.25">
      <c r="A106" s="26"/>
      <c r="C106" s="26"/>
      <c r="D106" s="26"/>
      <c r="E106" s="26"/>
      <c r="F106" s="27"/>
      <c r="G106" s="28"/>
      <c r="H106" s="27"/>
      <c r="I106" s="27"/>
      <c r="J106" s="28"/>
      <c r="K106" s="28"/>
      <c r="L106" s="28"/>
      <c r="M106" s="28"/>
      <c r="N106" s="28"/>
      <c r="O106" s="28"/>
      <c r="P106" s="28"/>
      <c r="Q106" s="28"/>
      <c r="R106" s="28"/>
      <c r="S106" s="28"/>
      <c r="T106" s="28"/>
      <c r="U106" s="28"/>
      <c r="V106" s="28"/>
      <c r="W106" s="28"/>
      <c r="X106" s="28"/>
      <c r="Y106" s="28"/>
      <c r="Z106" s="26"/>
    </row>
    <row r="107" spans="1:26" s="6" customFormat="1" x14ac:dyDescent="0.25">
      <c r="A107" s="26"/>
      <c r="C107" s="26"/>
      <c r="D107" s="26"/>
      <c r="E107" s="26"/>
      <c r="F107" s="27"/>
      <c r="G107" s="28"/>
      <c r="H107" s="27"/>
      <c r="I107" s="27"/>
      <c r="J107" s="28"/>
      <c r="K107" s="28"/>
      <c r="L107" s="28"/>
      <c r="M107" s="28"/>
      <c r="N107" s="28"/>
      <c r="O107" s="28"/>
      <c r="P107" s="28"/>
      <c r="Q107" s="28"/>
      <c r="R107" s="28"/>
      <c r="S107" s="28"/>
      <c r="T107" s="28"/>
      <c r="U107" s="28"/>
      <c r="V107" s="28"/>
      <c r="W107" s="28"/>
      <c r="X107" s="28"/>
      <c r="Y107" s="28"/>
      <c r="Z107" s="26"/>
    </row>
    <row r="108" spans="1:26" s="6" customFormat="1" x14ac:dyDescent="0.25">
      <c r="A108" s="26"/>
      <c r="C108" s="26"/>
      <c r="D108" s="26"/>
      <c r="E108" s="26"/>
      <c r="F108" s="27"/>
      <c r="G108" s="28"/>
      <c r="H108" s="27"/>
      <c r="I108" s="27"/>
      <c r="J108" s="28"/>
      <c r="K108" s="28"/>
      <c r="L108" s="28"/>
      <c r="M108" s="28"/>
      <c r="N108" s="28"/>
      <c r="O108" s="28"/>
      <c r="P108" s="28"/>
      <c r="Q108" s="28"/>
      <c r="R108" s="28"/>
      <c r="S108" s="28"/>
      <c r="T108" s="28"/>
      <c r="U108" s="28"/>
      <c r="V108" s="28"/>
      <c r="W108" s="28"/>
      <c r="X108" s="28"/>
      <c r="Y108" s="28"/>
      <c r="Z108" s="26"/>
    </row>
    <row r="109" spans="1:26" s="6" customFormat="1" x14ac:dyDescent="0.25">
      <c r="A109" s="26"/>
      <c r="C109" s="26"/>
      <c r="D109" s="26"/>
      <c r="E109" s="26"/>
      <c r="F109" s="27"/>
      <c r="G109" s="28"/>
      <c r="H109" s="27"/>
      <c r="I109" s="27"/>
      <c r="J109" s="28"/>
      <c r="K109" s="28"/>
      <c r="L109" s="28"/>
      <c r="M109" s="28"/>
      <c r="N109" s="28"/>
      <c r="O109" s="28"/>
      <c r="P109" s="28"/>
      <c r="Q109" s="28"/>
      <c r="R109" s="28"/>
      <c r="S109" s="28"/>
      <c r="T109" s="28"/>
      <c r="U109" s="28"/>
      <c r="V109" s="28"/>
      <c r="W109" s="28"/>
      <c r="X109" s="28"/>
      <c r="Y109" s="28"/>
      <c r="Z109" s="26"/>
    </row>
    <row r="110" spans="1:26" s="6" customFormat="1" x14ac:dyDescent="0.25">
      <c r="A110" s="26"/>
      <c r="C110" s="26"/>
      <c r="D110" s="26"/>
      <c r="E110" s="26"/>
      <c r="F110" s="27"/>
      <c r="G110" s="28"/>
      <c r="H110" s="27"/>
      <c r="I110" s="27"/>
      <c r="J110" s="28"/>
      <c r="K110" s="28"/>
      <c r="L110" s="28"/>
      <c r="M110" s="28"/>
      <c r="N110" s="28"/>
      <c r="O110" s="28"/>
      <c r="P110" s="28"/>
      <c r="Q110" s="28"/>
      <c r="R110" s="28"/>
      <c r="S110" s="28"/>
      <c r="T110" s="28"/>
      <c r="U110" s="28"/>
      <c r="V110" s="28"/>
      <c r="W110" s="28"/>
      <c r="X110" s="28"/>
      <c r="Y110" s="28"/>
      <c r="Z110" s="26"/>
    </row>
    <row r="111" spans="1:26" s="6" customFormat="1" x14ac:dyDescent="0.25">
      <c r="A111" s="26"/>
      <c r="C111" s="26"/>
      <c r="D111" s="26"/>
      <c r="E111" s="26"/>
      <c r="F111" s="27"/>
      <c r="G111" s="28"/>
      <c r="H111" s="27"/>
      <c r="I111" s="27"/>
      <c r="J111" s="28"/>
      <c r="K111" s="28"/>
      <c r="L111" s="28"/>
      <c r="M111" s="28"/>
      <c r="N111" s="28"/>
      <c r="O111" s="28"/>
      <c r="P111" s="28"/>
      <c r="Q111" s="28"/>
      <c r="R111" s="28"/>
      <c r="S111" s="28"/>
      <c r="T111" s="28"/>
      <c r="U111" s="28"/>
      <c r="V111" s="28"/>
      <c r="W111" s="28"/>
      <c r="X111" s="28"/>
      <c r="Y111" s="28"/>
      <c r="Z111" s="26"/>
    </row>
    <row r="112" spans="1:26" s="6" customFormat="1" x14ac:dyDescent="0.25">
      <c r="A112" s="26"/>
      <c r="C112" s="26"/>
      <c r="D112" s="26"/>
      <c r="E112" s="26"/>
      <c r="F112" s="27"/>
      <c r="G112" s="28"/>
      <c r="H112" s="27"/>
      <c r="I112" s="27"/>
      <c r="J112" s="28"/>
      <c r="K112" s="28"/>
      <c r="L112" s="28"/>
      <c r="M112" s="28"/>
      <c r="N112" s="28"/>
      <c r="O112" s="28"/>
      <c r="P112" s="28"/>
      <c r="Q112" s="28"/>
      <c r="R112" s="28"/>
      <c r="S112" s="28"/>
      <c r="T112" s="28"/>
      <c r="U112" s="28"/>
      <c r="V112" s="28"/>
      <c r="W112" s="28"/>
      <c r="X112" s="28"/>
      <c r="Y112" s="28"/>
      <c r="Z112" s="26"/>
    </row>
    <row r="113" spans="1:26" s="6" customFormat="1" x14ac:dyDescent="0.25">
      <c r="A113" s="26"/>
      <c r="C113" s="26"/>
      <c r="D113" s="26"/>
      <c r="E113" s="26"/>
      <c r="F113" s="27"/>
      <c r="G113" s="28"/>
      <c r="H113" s="27"/>
      <c r="I113" s="27"/>
      <c r="J113" s="28"/>
      <c r="K113" s="28"/>
      <c r="L113" s="28"/>
      <c r="M113" s="28"/>
      <c r="N113" s="28"/>
      <c r="O113" s="28"/>
      <c r="P113" s="28"/>
      <c r="Q113" s="28"/>
      <c r="R113" s="28"/>
      <c r="S113" s="28"/>
      <c r="T113" s="28"/>
      <c r="U113" s="28"/>
      <c r="V113" s="28"/>
      <c r="W113" s="28"/>
      <c r="X113" s="28"/>
      <c r="Y113" s="28"/>
      <c r="Z113" s="26"/>
    </row>
    <row r="114" spans="1:26" s="6" customFormat="1" x14ac:dyDescent="0.25">
      <c r="A114" s="26"/>
      <c r="C114" s="26"/>
      <c r="D114" s="26"/>
      <c r="E114" s="26"/>
      <c r="F114" s="27"/>
      <c r="G114" s="28"/>
      <c r="H114" s="27"/>
      <c r="I114" s="27"/>
      <c r="J114" s="28"/>
      <c r="K114" s="28"/>
      <c r="L114" s="28"/>
      <c r="M114" s="28"/>
      <c r="N114" s="28"/>
      <c r="O114" s="28"/>
      <c r="P114" s="28"/>
      <c r="Q114" s="28"/>
      <c r="R114" s="28"/>
      <c r="S114" s="28"/>
      <c r="T114" s="28"/>
      <c r="U114" s="28"/>
      <c r="V114" s="28"/>
      <c r="W114" s="28"/>
      <c r="X114" s="28"/>
      <c r="Y114" s="28"/>
      <c r="Z114" s="26"/>
    </row>
    <row r="115" spans="1:26" s="6" customFormat="1" x14ac:dyDescent="0.25">
      <c r="A115" s="26"/>
      <c r="C115" s="26"/>
      <c r="D115" s="26"/>
      <c r="E115" s="26"/>
      <c r="F115" s="27"/>
      <c r="G115" s="28"/>
      <c r="H115" s="27"/>
      <c r="I115" s="27"/>
      <c r="J115" s="28"/>
      <c r="K115" s="28"/>
      <c r="L115" s="28"/>
      <c r="M115" s="28"/>
      <c r="N115" s="28"/>
      <c r="O115" s="28"/>
      <c r="P115" s="28"/>
      <c r="Q115" s="28"/>
      <c r="R115" s="28"/>
      <c r="S115" s="28"/>
      <c r="T115" s="28"/>
      <c r="U115" s="28"/>
      <c r="V115" s="28"/>
      <c r="W115" s="28"/>
      <c r="X115" s="28"/>
      <c r="Y115" s="28"/>
      <c r="Z115" s="26"/>
    </row>
    <row r="116" spans="1:26" s="6" customFormat="1" x14ac:dyDescent="0.25">
      <c r="A116" s="26"/>
      <c r="C116" s="26"/>
      <c r="D116" s="26"/>
      <c r="E116" s="26"/>
      <c r="F116" s="27"/>
      <c r="G116" s="28"/>
      <c r="H116" s="27"/>
      <c r="I116" s="27"/>
      <c r="J116" s="28"/>
      <c r="K116" s="28"/>
      <c r="L116" s="28"/>
      <c r="M116" s="28"/>
      <c r="N116" s="28"/>
      <c r="O116" s="28"/>
      <c r="P116" s="28"/>
      <c r="Q116" s="28"/>
      <c r="R116" s="28"/>
      <c r="S116" s="28"/>
      <c r="T116" s="28"/>
      <c r="U116" s="28"/>
      <c r="V116" s="28"/>
      <c r="W116" s="28"/>
      <c r="X116" s="28"/>
      <c r="Y116" s="28"/>
      <c r="Z116" s="26"/>
    </row>
    <row r="117" spans="1:26" s="6" customFormat="1" x14ac:dyDescent="0.25">
      <c r="A117" s="26"/>
      <c r="C117" s="26"/>
      <c r="D117" s="26"/>
      <c r="E117" s="26"/>
      <c r="F117" s="27"/>
      <c r="G117" s="28"/>
      <c r="H117" s="27"/>
      <c r="I117" s="27"/>
      <c r="J117" s="28"/>
      <c r="K117" s="28"/>
      <c r="L117" s="28"/>
      <c r="M117" s="28"/>
      <c r="N117" s="28"/>
      <c r="O117" s="28"/>
      <c r="P117" s="28"/>
      <c r="Q117" s="28"/>
      <c r="R117" s="28"/>
      <c r="S117" s="28"/>
      <c r="T117" s="28"/>
      <c r="U117" s="28"/>
      <c r="V117" s="28"/>
      <c r="W117" s="28"/>
      <c r="X117" s="28"/>
      <c r="Y117" s="28"/>
      <c r="Z117" s="26"/>
    </row>
    <row r="118" spans="1:26" s="6" customFormat="1" x14ac:dyDescent="0.25">
      <c r="A118" s="26"/>
      <c r="C118" s="26"/>
      <c r="D118" s="26"/>
      <c r="E118" s="26"/>
      <c r="F118" s="27"/>
      <c r="G118" s="28"/>
      <c r="H118" s="27"/>
      <c r="I118" s="27"/>
      <c r="J118" s="28"/>
      <c r="K118" s="28"/>
      <c r="L118" s="28"/>
      <c r="M118" s="28"/>
      <c r="N118" s="28"/>
      <c r="O118" s="28"/>
      <c r="P118" s="28"/>
      <c r="Q118" s="28"/>
      <c r="R118" s="28"/>
      <c r="S118" s="28"/>
      <c r="T118" s="28"/>
      <c r="U118" s="28"/>
      <c r="V118" s="28"/>
      <c r="W118" s="28"/>
      <c r="X118" s="28"/>
      <c r="Y118" s="28"/>
      <c r="Z118" s="26"/>
    </row>
    <row r="119" spans="1:26" s="6" customFormat="1" x14ac:dyDescent="0.25">
      <c r="A119" s="26"/>
      <c r="C119" s="26"/>
      <c r="D119" s="26"/>
      <c r="E119" s="26"/>
      <c r="F119" s="27"/>
      <c r="G119" s="28"/>
      <c r="H119" s="27"/>
      <c r="I119" s="27"/>
      <c r="J119" s="28"/>
      <c r="K119" s="28"/>
      <c r="L119" s="28"/>
      <c r="M119" s="28"/>
      <c r="N119" s="28"/>
      <c r="O119" s="28"/>
      <c r="P119" s="28"/>
      <c r="Q119" s="28"/>
      <c r="R119" s="28"/>
      <c r="S119" s="28"/>
      <c r="T119" s="28"/>
      <c r="U119" s="28"/>
      <c r="V119" s="28"/>
      <c r="W119" s="28"/>
      <c r="X119" s="28"/>
      <c r="Y119" s="28"/>
      <c r="Z119" s="26"/>
    </row>
    <row r="120" spans="1:26" s="6" customFormat="1" x14ac:dyDescent="0.25">
      <c r="A120" s="26"/>
      <c r="C120" s="26"/>
      <c r="D120" s="26"/>
      <c r="E120" s="26"/>
      <c r="F120" s="27"/>
      <c r="G120" s="28"/>
      <c r="H120" s="27"/>
      <c r="I120" s="27"/>
      <c r="J120" s="28"/>
      <c r="K120" s="28"/>
      <c r="L120" s="28"/>
      <c r="M120" s="28"/>
      <c r="N120" s="28"/>
      <c r="O120" s="28"/>
      <c r="P120" s="28"/>
      <c r="Q120" s="28"/>
      <c r="R120" s="28"/>
      <c r="S120" s="28"/>
      <c r="T120" s="28"/>
      <c r="U120" s="28"/>
      <c r="V120" s="28"/>
      <c r="W120" s="28"/>
      <c r="X120" s="28"/>
      <c r="Y120" s="28"/>
      <c r="Z120" s="26"/>
    </row>
    <row r="121" spans="1:26" s="6" customFormat="1" x14ac:dyDescent="0.25">
      <c r="A121" s="26"/>
      <c r="C121" s="26"/>
      <c r="D121" s="26"/>
      <c r="E121" s="26"/>
      <c r="F121" s="27"/>
      <c r="G121" s="28"/>
      <c r="H121" s="27"/>
      <c r="I121" s="27"/>
      <c r="J121" s="28"/>
      <c r="K121" s="28"/>
      <c r="L121" s="28"/>
      <c r="M121" s="28"/>
      <c r="N121" s="28"/>
      <c r="O121" s="28"/>
      <c r="P121" s="28"/>
      <c r="Q121" s="28"/>
      <c r="R121" s="28"/>
      <c r="S121" s="28"/>
      <c r="T121" s="28"/>
      <c r="U121" s="28"/>
      <c r="V121" s="28"/>
      <c r="W121" s="28"/>
      <c r="X121" s="28"/>
      <c r="Y121" s="28"/>
      <c r="Z121" s="26"/>
    </row>
    <row r="122" spans="1:26" s="6" customFormat="1" x14ac:dyDescent="0.25">
      <c r="A122" s="26"/>
      <c r="C122" s="26"/>
      <c r="D122" s="26"/>
      <c r="E122" s="26"/>
      <c r="F122" s="27"/>
      <c r="G122" s="28"/>
      <c r="H122" s="27"/>
      <c r="I122" s="27"/>
      <c r="J122" s="28"/>
      <c r="K122" s="28"/>
      <c r="L122" s="28"/>
      <c r="M122" s="28"/>
      <c r="N122" s="28"/>
      <c r="O122" s="28"/>
      <c r="P122" s="28"/>
      <c r="Q122" s="28"/>
      <c r="R122" s="28"/>
      <c r="S122" s="28"/>
      <c r="T122" s="28"/>
      <c r="U122" s="28"/>
      <c r="V122" s="28"/>
      <c r="W122" s="28"/>
      <c r="X122" s="28"/>
      <c r="Y122" s="28"/>
      <c r="Z122" s="26"/>
    </row>
    <row r="123" spans="1:26" s="6" customFormat="1" x14ac:dyDescent="0.25">
      <c r="A123" s="26"/>
      <c r="C123" s="26"/>
      <c r="D123" s="26"/>
      <c r="E123" s="26"/>
      <c r="F123" s="27"/>
      <c r="G123" s="28"/>
      <c r="H123" s="27"/>
      <c r="I123" s="27"/>
      <c r="J123" s="28"/>
      <c r="K123" s="28"/>
      <c r="L123" s="28"/>
      <c r="M123" s="28"/>
      <c r="N123" s="28"/>
      <c r="O123" s="28"/>
      <c r="P123" s="28"/>
      <c r="Q123" s="28"/>
      <c r="R123" s="28"/>
      <c r="S123" s="28"/>
      <c r="T123" s="28"/>
      <c r="U123" s="28"/>
      <c r="V123" s="28"/>
      <c r="W123" s="28"/>
      <c r="X123" s="28"/>
      <c r="Y123" s="28"/>
      <c r="Z123" s="26"/>
    </row>
    <row r="124" spans="1:26" s="6" customFormat="1" x14ac:dyDescent="0.25">
      <c r="A124" s="26"/>
      <c r="C124" s="26"/>
      <c r="D124" s="26"/>
      <c r="E124" s="26"/>
      <c r="F124" s="27"/>
      <c r="G124" s="28"/>
      <c r="H124" s="27"/>
      <c r="I124" s="27"/>
      <c r="J124" s="28"/>
      <c r="K124" s="28"/>
      <c r="L124" s="28"/>
      <c r="M124" s="28"/>
      <c r="N124" s="28"/>
      <c r="O124" s="28"/>
      <c r="P124" s="28"/>
      <c r="Q124" s="28"/>
      <c r="R124" s="28"/>
      <c r="S124" s="28"/>
      <c r="T124" s="28"/>
      <c r="U124" s="28"/>
      <c r="V124" s="28"/>
      <c r="W124" s="28"/>
      <c r="X124" s="28"/>
      <c r="Y124" s="28"/>
      <c r="Z124" s="26"/>
    </row>
    <row r="125" spans="1:26" s="6" customFormat="1" x14ac:dyDescent="0.25">
      <c r="A125" s="26"/>
      <c r="C125" s="26"/>
      <c r="D125" s="26"/>
      <c r="E125" s="26"/>
      <c r="F125" s="27"/>
      <c r="G125" s="28"/>
      <c r="H125" s="27"/>
      <c r="I125" s="27"/>
      <c r="J125" s="28"/>
      <c r="K125" s="28"/>
      <c r="L125" s="28"/>
      <c r="M125" s="28"/>
      <c r="N125" s="28"/>
      <c r="O125" s="28"/>
      <c r="P125" s="28"/>
      <c r="Q125" s="28"/>
      <c r="R125" s="28"/>
      <c r="S125" s="28"/>
      <c r="T125" s="28"/>
      <c r="U125" s="28"/>
      <c r="V125" s="28"/>
      <c r="W125" s="28"/>
      <c r="X125" s="28"/>
      <c r="Y125" s="28"/>
      <c r="Z125" s="26"/>
    </row>
    <row r="126" spans="1:26" s="6" customFormat="1" x14ac:dyDescent="0.25">
      <c r="A126" s="26"/>
      <c r="C126" s="26"/>
      <c r="D126" s="26"/>
      <c r="E126" s="26"/>
      <c r="F126" s="27"/>
      <c r="G126" s="28"/>
      <c r="H126" s="27"/>
      <c r="I126" s="27"/>
      <c r="J126" s="28"/>
      <c r="K126" s="28"/>
      <c r="L126" s="28"/>
      <c r="M126" s="28"/>
      <c r="N126" s="28"/>
      <c r="O126" s="28"/>
      <c r="P126" s="28"/>
      <c r="Q126" s="28"/>
      <c r="R126" s="28"/>
      <c r="S126" s="28"/>
      <c r="T126" s="28"/>
      <c r="U126" s="28"/>
      <c r="V126" s="28"/>
      <c r="W126" s="28"/>
      <c r="X126" s="28"/>
      <c r="Y126" s="28"/>
      <c r="Z126" s="26"/>
    </row>
    <row r="127" spans="1:26" s="6" customFormat="1" x14ac:dyDescent="0.25">
      <c r="A127" s="26"/>
      <c r="C127" s="26"/>
      <c r="D127" s="26"/>
      <c r="E127" s="26"/>
      <c r="F127" s="27"/>
      <c r="G127" s="28"/>
      <c r="H127" s="27"/>
      <c r="I127" s="27"/>
      <c r="J127" s="28"/>
      <c r="K127" s="28"/>
      <c r="L127" s="28"/>
      <c r="M127" s="28"/>
      <c r="N127" s="28"/>
      <c r="O127" s="28"/>
      <c r="P127" s="28"/>
      <c r="Q127" s="28"/>
      <c r="R127" s="28"/>
      <c r="S127" s="28"/>
      <c r="T127" s="28"/>
      <c r="U127" s="28"/>
      <c r="V127" s="28"/>
      <c r="W127" s="28"/>
      <c r="X127" s="28"/>
      <c r="Y127" s="28"/>
      <c r="Z127" s="26"/>
    </row>
    <row r="128" spans="1:26" s="6" customFormat="1" x14ac:dyDescent="0.25">
      <c r="A128" s="26"/>
      <c r="C128" s="26"/>
      <c r="D128" s="26"/>
      <c r="E128" s="26"/>
      <c r="F128" s="27"/>
      <c r="G128" s="28"/>
      <c r="H128" s="27"/>
      <c r="I128" s="27"/>
      <c r="J128" s="28"/>
      <c r="K128" s="28"/>
      <c r="L128" s="28"/>
      <c r="M128" s="28"/>
      <c r="N128" s="28"/>
      <c r="O128" s="28"/>
      <c r="P128" s="28"/>
      <c r="Q128" s="28"/>
      <c r="R128" s="28"/>
      <c r="S128" s="28"/>
      <c r="T128" s="28"/>
      <c r="U128" s="28"/>
      <c r="V128" s="28"/>
      <c r="W128" s="28"/>
      <c r="X128" s="28"/>
      <c r="Y128" s="28"/>
      <c r="Z128" s="26"/>
    </row>
    <row r="129" spans="1:27" s="6" customFormat="1" x14ac:dyDescent="0.25">
      <c r="A129" s="26"/>
      <c r="C129" s="26"/>
      <c r="D129" s="26"/>
      <c r="E129" s="26"/>
      <c r="F129" s="27"/>
      <c r="G129" s="28"/>
      <c r="H129" s="27"/>
      <c r="I129" s="27"/>
      <c r="J129" s="28"/>
      <c r="K129" s="28"/>
      <c r="L129" s="28"/>
      <c r="M129" s="28"/>
      <c r="N129" s="28"/>
      <c r="O129" s="28"/>
      <c r="P129" s="28"/>
      <c r="Q129" s="28"/>
      <c r="R129" s="28"/>
      <c r="S129" s="28"/>
      <c r="T129" s="28"/>
      <c r="U129" s="28"/>
      <c r="V129" s="28"/>
      <c r="W129" s="28"/>
      <c r="X129" s="28"/>
      <c r="Y129" s="28"/>
      <c r="Z129" s="26"/>
    </row>
    <row r="130" spans="1:27" s="6" customFormat="1" x14ac:dyDescent="0.25">
      <c r="A130" s="26"/>
      <c r="C130" s="26"/>
      <c r="D130" s="26"/>
      <c r="E130" s="26"/>
      <c r="F130" s="27"/>
      <c r="G130" s="28"/>
      <c r="H130" s="27"/>
      <c r="I130" s="27"/>
      <c r="J130" s="28"/>
      <c r="K130" s="28"/>
      <c r="L130" s="28"/>
      <c r="M130" s="28"/>
      <c r="N130" s="28"/>
      <c r="O130" s="28"/>
      <c r="P130" s="28"/>
      <c r="Q130" s="28"/>
      <c r="R130" s="28"/>
      <c r="S130" s="28"/>
      <c r="T130" s="28"/>
      <c r="U130" s="28"/>
      <c r="V130" s="28"/>
      <c r="W130" s="28"/>
      <c r="X130" s="28"/>
      <c r="Y130" s="28"/>
      <c r="Z130" s="26"/>
    </row>
    <row r="131" spans="1:27" s="6" customFormat="1" x14ac:dyDescent="0.25">
      <c r="A131" s="26"/>
      <c r="C131" s="26"/>
      <c r="D131" s="26"/>
      <c r="E131" s="26"/>
      <c r="F131" s="27"/>
      <c r="G131" s="28"/>
      <c r="H131" s="27"/>
      <c r="I131" s="27"/>
      <c r="J131" s="28"/>
      <c r="K131" s="28"/>
      <c r="L131" s="28"/>
      <c r="M131" s="28"/>
      <c r="N131" s="28"/>
      <c r="O131" s="28"/>
      <c r="P131" s="28"/>
      <c r="Q131" s="28"/>
      <c r="R131" s="28"/>
      <c r="S131" s="28"/>
      <c r="T131" s="28"/>
      <c r="U131" s="28"/>
      <c r="V131" s="28"/>
      <c r="W131" s="28"/>
      <c r="X131" s="28"/>
      <c r="Y131" s="28"/>
      <c r="Z131" s="26"/>
    </row>
    <row r="132" spans="1:27" s="6" customFormat="1" x14ac:dyDescent="0.25">
      <c r="A132" s="26"/>
      <c r="C132" s="26"/>
      <c r="D132" s="26"/>
      <c r="E132" s="26"/>
      <c r="F132" s="27"/>
      <c r="G132" s="28"/>
      <c r="H132" s="27"/>
      <c r="I132" s="27"/>
      <c r="J132" s="28"/>
      <c r="K132" s="28"/>
      <c r="L132" s="28"/>
      <c r="M132" s="28"/>
      <c r="N132" s="28"/>
      <c r="O132" s="28"/>
      <c r="P132" s="28"/>
      <c r="Q132" s="28"/>
      <c r="R132" s="28"/>
      <c r="S132" s="28"/>
      <c r="T132" s="28"/>
      <c r="U132" s="28"/>
      <c r="V132" s="28"/>
      <c r="W132" s="28"/>
      <c r="X132" s="28"/>
      <c r="Y132" s="28"/>
      <c r="Z132" s="26"/>
    </row>
    <row r="133" spans="1:27" s="6" customFormat="1" x14ac:dyDescent="0.25">
      <c r="A133" s="26"/>
      <c r="C133" s="26"/>
      <c r="D133" s="26"/>
      <c r="E133" s="26"/>
      <c r="F133" s="27"/>
      <c r="G133" s="28"/>
      <c r="H133" s="27"/>
      <c r="I133" s="27"/>
      <c r="J133" s="28"/>
      <c r="K133" s="28"/>
      <c r="L133" s="28"/>
      <c r="M133" s="28"/>
      <c r="N133" s="28"/>
      <c r="O133" s="28"/>
      <c r="P133" s="28"/>
      <c r="Q133" s="28"/>
      <c r="R133" s="28"/>
      <c r="S133" s="28"/>
      <c r="T133" s="28"/>
      <c r="U133" s="28"/>
      <c r="V133" s="28"/>
      <c r="W133" s="28"/>
      <c r="X133" s="28"/>
      <c r="Y133" s="28"/>
      <c r="Z133" s="26"/>
    </row>
    <row r="134" spans="1:27" s="6" customFormat="1" x14ac:dyDescent="0.25">
      <c r="A134" s="26"/>
      <c r="C134" s="26"/>
      <c r="D134" s="26"/>
      <c r="E134" s="26"/>
      <c r="F134" s="27"/>
      <c r="G134" s="28"/>
      <c r="H134" s="27"/>
      <c r="I134" s="27"/>
      <c r="J134" s="28"/>
      <c r="K134" s="28"/>
      <c r="L134" s="28"/>
      <c r="M134" s="28"/>
      <c r="N134" s="28"/>
      <c r="O134" s="28"/>
      <c r="P134" s="28"/>
      <c r="Q134" s="28"/>
      <c r="R134" s="28"/>
      <c r="S134" s="28"/>
      <c r="T134" s="28"/>
      <c r="U134" s="28"/>
      <c r="V134" s="28"/>
      <c r="W134" s="28"/>
      <c r="X134" s="28"/>
      <c r="Y134" s="28"/>
      <c r="Z134" s="26"/>
    </row>
    <row r="135" spans="1:27" s="6" customFormat="1" x14ac:dyDescent="0.25">
      <c r="A135" s="26"/>
      <c r="C135" s="26"/>
      <c r="D135" s="26"/>
      <c r="E135" s="26"/>
      <c r="F135" s="27"/>
      <c r="G135" s="28"/>
      <c r="H135" s="27"/>
      <c r="I135" s="27"/>
      <c r="J135" s="28"/>
      <c r="K135" s="28"/>
      <c r="L135" s="28"/>
      <c r="M135" s="28"/>
      <c r="N135" s="28"/>
      <c r="O135" s="28"/>
      <c r="P135" s="28"/>
      <c r="Q135" s="28"/>
      <c r="R135" s="28"/>
      <c r="S135" s="28"/>
      <c r="T135" s="28"/>
      <c r="U135" s="28"/>
      <c r="V135" s="28"/>
      <c r="W135" s="28"/>
      <c r="X135" s="28"/>
      <c r="Y135" s="28"/>
      <c r="Z135" s="26"/>
    </row>
    <row r="136" spans="1:27" s="6" customFormat="1" x14ac:dyDescent="0.25">
      <c r="A136" s="26"/>
      <c r="C136" s="26"/>
      <c r="D136" s="26"/>
      <c r="E136" s="26"/>
      <c r="F136" s="27"/>
      <c r="G136" s="28"/>
      <c r="H136" s="27"/>
      <c r="I136" s="27"/>
      <c r="J136" s="28"/>
      <c r="K136" s="28"/>
      <c r="L136" s="28"/>
      <c r="M136" s="28"/>
      <c r="N136" s="28"/>
      <c r="O136" s="28"/>
      <c r="P136" s="28"/>
      <c r="Q136" s="28"/>
      <c r="R136" s="28"/>
      <c r="S136" s="28"/>
      <c r="T136" s="28"/>
      <c r="U136" s="28"/>
      <c r="V136" s="28"/>
      <c r="W136" s="28"/>
      <c r="X136" s="28"/>
      <c r="Y136" s="28"/>
      <c r="Z136" s="26"/>
    </row>
    <row r="137" spans="1:27" s="6" customFormat="1" x14ac:dyDescent="0.25">
      <c r="A137" s="26"/>
      <c r="C137" s="26"/>
      <c r="D137" s="26"/>
      <c r="E137" s="26"/>
      <c r="F137" s="27"/>
      <c r="G137" s="28"/>
      <c r="H137" s="27"/>
      <c r="I137" s="27"/>
      <c r="J137" s="28"/>
      <c r="K137" s="28"/>
      <c r="L137" s="28"/>
      <c r="M137" s="28"/>
      <c r="N137" s="28"/>
      <c r="O137" s="28"/>
      <c r="P137" s="28"/>
      <c r="Q137" s="28"/>
      <c r="R137" s="28"/>
      <c r="S137" s="28"/>
      <c r="T137" s="28"/>
      <c r="U137" s="28"/>
      <c r="V137" s="28"/>
      <c r="W137" s="28"/>
      <c r="X137" s="28"/>
      <c r="Y137" s="28"/>
      <c r="Z137" s="26"/>
    </row>
    <row r="138" spans="1:27" s="6" customFormat="1" x14ac:dyDescent="0.25">
      <c r="A138" s="26"/>
      <c r="C138" s="26"/>
      <c r="D138" s="26"/>
      <c r="E138" s="26"/>
      <c r="F138" s="27"/>
      <c r="G138" s="28"/>
      <c r="H138" s="27"/>
      <c r="I138" s="27"/>
      <c r="J138" s="28"/>
      <c r="K138" s="28"/>
      <c r="L138" s="28"/>
      <c r="M138" s="28"/>
      <c r="N138" s="28"/>
      <c r="O138" s="28"/>
      <c r="P138" s="28"/>
      <c r="Q138" s="28"/>
      <c r="R138" s="28"/>
      <c r="S138" s="28"/>
      <c r="T138" s="28"/>
      <c r="U138" s="28"/>
      <c r="V138" s="28"/>
      <c r="W138" s="28"/>
      <c r="X138" s="28"/>
      <c r="Y138" s="28"/>
      <c r="Z138" s="26"/>
    </row>
    <row r="139" spans="1:27" s="6" customFormat="1" x14ac:dyDescent="0.25">
      <c r="A139" s="26"/>
      <c r="C139" s="26"/>
      <c r="D139" s="26"/>
      <c r="E139" s="26"/>
      <c r="F139" s="27"/>
      <c r="G139" s="28"/>
      <c r="H139" s="27"/>
      <c r="I139" s="27"/>
      <c r="J139" s="28"/>
      <c r="K139" s="28"/>
      <c r="L139" s="28"/>
      <c r="M139" s="28"/>
      <c r="N139" s="28"/>
      <c r="O139" s="28"/>
      <c r="P139" s="28"/>
      <c r="Q139" s="28"/>
      <c r="R139" s="28"/>
      <c r="S139" s="28"/>
      <c r="T139" s="28"/>
      <c r="U139" s="28"/>
      <c r="V139" s="28"/>
      <c r="W139" s="28"/>
      <c r="X139" s="28"/>
      <c r="Y139" s="28"/>
      <c r="Z139" s="26"/>
    </row>
    <row r="140" spans="1:27" s="6" customFormat="1" x14ac:dyDescent="0.25">
      <c r="A140" s="26"/>
      <c r="C140" s="26"/>
      <c r="D140" s="26"/>
      <c r="E140" s="26"/>
      <c r="F140" s="27"/>
      <c r="G140" s="28"/>
      <c r="H140" s="27"/>
      <c r="I140" s="27"/>
      <c r="J140" s="28"/>
      <c r="K140" s="28"/>
      <c r="L140" s="28"/>
      <c r="M140" s="28"/>
      <c r="N140" s="28"/>
      <c r="O140" s="28"/>
      <c r="P140" s="28"/>
      <c r="Q140" s="28"/>
      <c r="R140" s="28"/>
      <c r="S140" s="28"/>
      <c r="T140" s="28"/>
      <c r="U140" s="28"/>
      <c r="V140" s="28"/>
      <c r="W140" s="28"/>
      <c r="X140" s="28"/>
      <c r="Y140" s="28"/>
      <c r="Z140" s="26"/>
    </row>
    <row r="141" spans="1:27" s="6" customFormat="1" x14ac:dyDescent="0.25">
      <c r="A141" s="26"/>
      <c r="C141" s="26"/>
      <c r="D141" s="26"/>
      <c r="E141" s="26"/>
      <c r="F141" s="27"/>
      <c r="G141" s="28"/>
      <c r="H141" s="27"/>
      <c r="I141" s="27"/>
      <c r="J141" s="28"/>
      <c r="K141" s="28"/>
      <c r="L141" s="28"/>
      <c r="M141" s="28"/>
      <c r="N141" s="28"/>
      <c r="O141" s="28"/>
      <c r="P141" s="28"/>
      <c r="Q141" s="28"/>
      <c r="R141" s="28"/>
      <c r="S141" s="28"/>
      <c r="T141" s="28"/>
      <c r="U141" s="28"/>
      <c r="V141" s="28"/>
      <c r="W141" s="28"/>
      <c r="X141" s="28"/>
      <c r="Y141" s="28"/>
      <c r="Z141" s="26"/>
    </row>
    <row r="142" spans="1:27" s="6" customFormat="1" x14ac:dyDescent="0.25">
      <c r="A142" s="26"/>
      <c r="C142" s="26"/>
      <c r="D142" s="26"/>
      <c r="E142" s="26"/>
      <c r="F142" s="27"/>
      <c r="G142" s="28"/>
      <c r="H142" s="27"/>
      <c r="I142" s="27"/>
      <c r="J142" s="28"/>
      <c r="K142" s="28"/>
      <c r="L142" s="28"/>
      <c r="M142" s="28"/>
      <c r="N142" s="28"/>
      <c r="O142" s="28"/>
      <c r="P142" s="28"/>
      <c r="Q142" s="28"/>
      <c r="R142" s="28"/>
      <c r="S142" s="28"/>
      <c r="T142" s="28"/>
      <c r="U142" s="28"/>
      <c r="V142" s="28"/>
      <c r="W142" s="28"/>
      <c r="X142" s="28"/>
      <c r="Y142" s="28"/>
      <c r="Z142" s="26"/>
    </row>
    <row r="143" spans="1:27" s="6" customFormat="1" x14ac:dyDescent="0.25">
      <c r="A143" s="26"/>
      <c r="C143" s="26"/>
      <c r="D143" s="26"/>
      <c r="E143" s="26"/>
      <c r="F143" s="27"/>
      <c r="G143" s="28"/>
      <c r="H143" s="27"/>
      <c r="I143" s="27"/>
      <c r="J143" s="28"/>
      <c r="K143" s="28"/>
      <c r="L143" s="28"/>
      <c r="M143" s="28"/>
      <c r="N143" s="28"/>
      <c r="O143" s="28"/>
      <c r="P143" s="28"/>
      <c r="Q143" s="28"/>
      <c r="R143" s="28"/>
      <c r="S143" s="28"/>
      <c r="T143" s="28"/>
      <c r="U143" s="28"/>
      <c r="V143" s="28"/>
      <c r="W143" s="28"/>
      <c r="X143" s="28"/>
      <c r="Y143" s="28"/>
      <c r="Z143" s="26"/>
      <c r="AA143" s="9"/>
    </row>
    <row r="144" spans="1:27" s="6" customFormat="1" x14ac:dyDescent="0.25">
      <c r="A144" s="26"/>
      <c r="C144" s="26"/>
      <c r="D144" s="26"/>
      <c r="E144" s="26"/>
      <c r="F144" s="27"/>
      <c r="G144" s="28"/>
      <c r="H144" s="27"/>
      <c r="I144" s="27"/>
      <c r="J144" s="28"/>
      <c r="K144" s="28"/>
      <c r="L144" s="28"/>
      <c r="M144" s="28"/>
      <c r="N144" s="28"/>
      <c r="O144" s="28"/>
      <c r="P144" s="28"/>
      <c r="Q144" s="28"/>
      <c r="R144" s="28"/>
      <c r="S144" s="28"/>
      <c r="T144" s="28"/>
      <c r="U144" s="28"/>
      <c r="V144" s="28"/>
      <c r="W144" s="28"/>
      <c r="X144" s="28"/>
      <c r="Y144" s="28"/>
      <c r="Z144" s="26"/>
      <c r="AA144" s="9"/>
    </row>
    <row r="145" spans="1:27" s="6" customFormat="1" x14ac:dyDescent="0.25">
      <c r="A145" s="26"/>
      <c r="C145" s="26"/>
      <c r="D145" s="26"/>
      <c r="E145" s="26"/>
      <c r="F145" s="27"/>
      <c r="G145" s="28"/>
      <c r="H145" s="27"/>
      <c r="I145" s="27"/>
      <c r="J145" s="28"/>
      <c r="K145" s="28"/>
      <c r="L145" s="28"/>
      <c r="M145" s="28"/>
      <c r="N145" s="28"/>
      <c r="O145" s="28"/>
      <c r="P145" s="28"/>
      <c r="Q145" s="28"/>
      <c r="R145" s="28"/>
      <c r="S145" s="28"/>
      <c r="T145" s="28"/>
      <c r="U145" s="28"/>
      <c r="V145" s="28"/>
      <c r="W145" s="28"/>
      <c r="X145" s="28"/>
      <c r="Y145" s="28"/>
      <c r="Z145" s="26"/>
      <c r="AA145" s="9"/>
    </row>
    <row r="146" spans="1:27" s="6" customFormat="1" x14ac:dyDescent="0.25">
      <c r="A146" s="26"/>
      <c r="C146" s="26"/>
      <c r="D146" s="26"/>
      <c r="E146" s="26"/>
      <c r="F146" s="27"/>
      <c r="G146" s="28"/>
      <c r="H146" s="27"/>
      <c r="I146" s="27"/>
      <c r="J146" s="28"/>
      <c r="K146" s="28"/>
      <c r="L146" s="28"/>
      <c r="M146" s="28"/>
      <c r="N146" s="28"/>
      <c r="O146" s="28"/>
      <c r="P146" s="28"/>
      <c r="Q146" s="28"/>
      <c r="R146" s="28"/>
      <c r="S146" s="28"/>
      <c r="T146" s="28"/>
      <c r="U146" s="28"/>
      <c r="V146" s="28"/>
      <c r="W146" s="28"/>
      <c r="X146" s="28"/>
      <c r="Y146" s="28"/>
      <c r="Z146" s="26"/>
      <c r="AA146" s="9"/>
    </row>
    <row r="147" spans="1:27" s="6" customFormat="1" x14ac:dyDescent="0.25">
      <c r="A147" s="26"/>
      <c r="C147" s="26"/>
      <c r="D147" s="26"/>
      <c r="E147" s="26"/>
      <c r="F147" s="27"/>
      <c r="G147" s="28"/>
      <c r="H147" s="27"/>
      <c r="I147" s="27"/>
      <c r="J147" s="28"/>
      <c r="K147" s="28"/>
      <c r="L147" s="28"/>
      <c r="M147" s="28"/>
      <c r="N147" s="28"/>
      <c r="O147" s="28"/>
      <c r="P147" s="28"/>
      <c r="Q147" s="28"/>
      <c r="R147" s="28"/>
      <c r="S147" s="28"/>
      <c r="T147" s="28"/>
      <c r="U147" s="28"/>
      <c r="V147" s="28"/>
      <c r="W147" s="28"/>
      <c r="X147" s="28"/>
      <c r="Y147" s="28"/>
      <c r="Z147" s="26"/>
      <c r="AA147" s="9"/>
    </row>
    <row r="148" spans="1:27" s="6" customFormat="1" x14ac:dyDescent="0.25">
      <c r="A148" s="26"/>
      <c r="C148" s="26"/>
      <c r="D148" s="26"/>
      <c r="E148" s="26"/>
      <c r="F148" s="27"/>
      <c r="G148" s="28"/>
      <c r="H148" s="27"/>
      <c r="I148" s="27"/>
      <c r="J148" s="28"/>
      <c r="K148" s="28"/>
      <c r="L148" s="28"/>
      <c r="M148" s="28"/>
      <c r="N148" s="28"/>
      <c r="O148" s="28"/>
      <c r="P148" s="28"/>
      <c r="Q148" s="28"/>
      <c r="R148" s="28"/>
      <c r="S148" s="28"/>
      <c r="T148" s="28"/>
      <c r="U148" s="28"/>
      <c r="V148" s="28"/>
      <c r="W148" s="28"/>
      <c r="X148" s="28"/>
      <c r="Y148" s="28"/>
      <c r="Z148" s="26"/>
      <c r="AA148" s="9"/>
    </row>
    <row r="149" spans="1:27" x14ac:dyDescent="0.25">
      <c r="AA149" s="26"/>
    </row>
    <row r="150" spans="1:27" x14ac:dyDescent="0.25">
      <c r="AA150" s="26"/>
    </row>
    <row r="155" spans="1:27" s="26" customFormat="1" x14ac:dyDescent="0.25">
      <c r="B155" s="6"/>
      <c r="F155" s="27"/>
      <c r="G155" s="28"/>
      <c r="H155" s="27"/>
      <c r="I155" s="27"/>
      <c r="J155" s="28"/>
      <c r="K155" s="28"/>
      <c r="L155" s="28"/>
      <c r="M155" s="28"/>
      <c r="N155" s="28"/>
      <c r="O155" s="28"/>
      <c r="P155" s="28"/>
      <c r="Q155" s="28"/>
      <c r="R155" s="28"/>
      <c r="S155" s="28"/>
      <c r="T155" s="28"/>
      <c r="U155" s="28"/>
      <c r="V155" s="28"/>
      <c r="W155" s="28"/>
      <c r="X155" s="28"/>
      <c r="Y155" s="28"/>
      <c r="AA155" s="9"/>
    </row>
    <row r="156" spans="1:27" s="26" customFormat="1" x14ac:dyDescent="0.25">
      <c r="B156" s="6"/>
      <c r="F156" s="27"/>
      <c r="G156" s="28"/>
      <c r="H156" s="27"/>
      <c r="I156" s="27"/>
      <c r="J156" s="28"/>
      <c r="K156" s="28"/>
      <c r="L156" s="28"/>
      <c r="M156" s="28"/>
      <c r="N156" s="28"/>
      <c r="O156" s="28"/>
      <c r="P156" s="28"/>
      <c r="Q156" s="28"/>
      <c r="R156" s="28"/>
      <c r="S156" s="28"/>
      <c r="T156" s="28"/>
      <c r="U156" s="28"/>
      <c r="V156" s="28"/>
      <c r="W156" s="28"/>
      <c r="X156" s="28"/>
      <c r="Y156" s="28"/>
      <c r="AA156" s="9"/>
    </row>
  </sheetData>
  <mergeCells count="82">
    <mergeCell ref="B66:C66"/>
    <mergeCell ref="C61:F61"/>
    <mergeCell ref="C62:F62"/>
    <mergeCell ref="L4:L5"/>
    <mergeCell ref="H4:H5"/>
    <mergeCell ref="C63:F63"/>
    <mergeCell ref="A54:C54"/>
    <mergeCell ref="B6:C6"/>
    <mergeCell ref="B4:B5"/>
    <mergeCell ref="C4:C5"/>
    <mergeCell ref="F4:F5"/>
    <mergeCell ref="B44:C44"/>
    <mergeCell ref="B46:C46"/>
    <mergeCell ref="C60:F60"/>
    <mergeCell ref="I64:K64"/>
    <mergeCell ref="H56:W56"/>
    <mergeCell ref="I4:I5"/>
    <mergeCell ref="I63:K63"/>
    <mergeCell ref="L63:W63"/>
    <mergeCell ref="D3:J3"/>
    <mergeCell ref="D4:D5"/>
    <mergeCell ref="E4:E5"/>
    <mergeCell ref="G4:G5"/>
    <mergeCell ref="C59:F59"/>
    <mergeCell ref="C58:F58"/>
    <mergeCell ref="C57:F57"/>
    <mergeCell ref="B56:F56"/>
    <mergeCell ref="B49:C49"/>
    <mergeCell ref="L62:W62"/>
    <mergeCell ref="L64:W64"/>
    <mergeCell ref="L57:W57"/>
    <mergeCell ref="L60:W60"/>
    <mergeCell ref="L61:W61"/>
    <mergeCell ref="I60:K60"/>
    <mergeCell ref="I57:K57"/>
    <mergeCell ref="I61:K61"/>
    <mergeCell ref="I62:K62"/>
    <mergeCell ref="I58:K58"/>
    <mergeCell ref="I59:K59"/>
    <mergeCell ref="L58:W58"/>
    <mergeCell ref="L59:W59"/>
    <mergeCell ref="A1:Y1"/>
    <mergeCell ref="B3:C3"/>
    <mergeCell ref="J4:J5"/>
    <mergeCell ref="K4:K5"/>
    <mergeCell ref="Q4:Q5"/>
    <mergeCell ref="W4:W5"/>
    <mergeCell ref="X4:X5"/>
    <mergeCell ref="O4:O5"/>
    <mergeCell ref="N4:N5"/>
    <mergeCell ref="M4:M5"/>
    <mergeCell ref="V4:V5"/>
    <mergeCell ref="R4:S4"/>
    <mergeCell ref="T4:U4"/>
    <mergeCell ref="B2:C2"/>
    <mergeCell ref="P4:P5"/>
    <mergeCell ref="K3:W3"/>
    <mergeCell ref="I78:K78"/>
    <mergeCell ref="I76:K76"/>
    <mergeCell ref="I77:K77"/>
    <mergeCell ref="I72:J73"/>
    <mergeCell ref="I74:J75"/>
    <mergeCell ref="I71:K71"/>
    <mergeCell ref="I68:K68"/>
    <mergeCell ref="I70:K70"/>
    <mergeCell ref="I65:K65"/>
    <mergeCell ref="I66:K66"/>
    <mergeCell ref="I67:K67"/>
    <mergeCell ref="I69:K69"/>
    <mergeCell ref="L65:W65"/>
    <mergeCell ref="L66:W66"/>
    <mergeCell ref="L67:W67"/>
    <mergeCell ref="L68:W68"/>
    <mergeCell ref="L70:W70"/>
    <mergeCell ref="L69:W69"/>
    <mergeCell ref="L77:W77"/>
    <mergeCell ref="L78:W78"/>
    <mergeCell ref="L71:W71"/>
    <mergeCell ref="L72:W72"/>
    <mergeCell ref="L74:W74"/>
    <mergeCell ref="L75:W75"/>
    <mergeCell ref="L76:W76"/>
  </mergeCells>
  <conditionalFormatting sqref="I7:I43 I45 I47:I48 I50:I53 O7:O43 O45 O47:O48 O50:O53">
    <cfRule type="cellIs" dxfId="14" priority="1" operator="greaterThan">
      <formula>0.1</formula>
    </cfRule>
  </conditionalFormatting>
  <printOptions horizontalCentered="1" verticalCentered="1" gridLines="1"/>
  <pageMargins left="0" right="0" top="0" bottom="0" header="0.5" footer="0.5"/>
  <pageSetup paperSize="17" scale="4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Open_Ensuite_Cred_Form">
                <anchor moveWithCells="1" sizeWithCells="1">
                  <from>
                    <xdr:col>0</xdr:col>
                    <xdr:colOff>47625</xdr:colOff>
                    <xdr:row>4</xdr:row>
                    <xdr:rowOff>9525</xdr:rowOff>
                  </from>
                  <to>
                    <xdr:col>0</xdr:col>
                    <xdr:colOff>390525</xdr:colOff>
                    <xdr:row>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V51"/>
  <sheetViews>
    <sheetView topLeftCell="O34" workbookViewId="0">
      <selection activeCell="B48" sqref="B48"/>
    </sheetView>
  </sheetViews>
  <sheetFormatPr defaultRowHeight="15" x14ac:dyDescent="0.25"/>
  <cols>
    <col min="1" max="1" width="13.140625" customWidth="1"/>
    <col min="2" max="2" width="19.28515625" customWidth="1"/>
    <col min="3" max="3" width="23.28515625" style="71" bestFit="1" customWidth="1"/>
    <col min="4" max="4" width="24.7109375" style="5" bestFit="1" customWidth="1"/>
    <col min="5" max="5" width="28.28515625" style="7" bestFit="1" customWidth="1"/>
    <col min="6" max="6" width="35.42578125" style="5" bestFit="1" customWidth="1"/>
    <col min="7" max="7" width="14" style="5" bestFit="1" customWidth="1"/>
    <col min="8" max="8" width="25.140625" style="5" bestFit="1" customWidth="1"/>
    <col min="9" max="9" width="31.42578125" style="5" bestFit="1" customWidth="1"/>
    <col min="10" max="10" width="19.140625" style="5" customWidth="1"/>
    <col min="11" max="13" width="19.140625" style="5" bestFit="1" customWidth="1"/>
    <col min="14" max="14" width="28.5703125" style="5" bestFit="1" customWidth="1"/>
    <col min="15" max="15" width="19.7109375" style="5" bestFit="1" customWidth="1"/>
    <col min="16" max="17" width="14" style="5" customWidth="1"/>
    <col min="18" max="20" width="14" bestFit="1" customWidth="1"/>
    <col min="21" max="21" width="13.85546875" bestFit="1" customWidth="1"/>
    <col min="22" max="22" width="33" bestFit="1" customWidth="1"/>
    <col min="23" max="28" width="12" bestFit="1" customWidth="1"/>
    <col min="29" max="29" width="11" bestFit="1" customWidth="1"/>
    <col min="30" max="30" width="12" bestFit="1" customWidth="1"/>
    <col min="31" max="31" width="10" bestFit="1" customWidth="1"/>
    <col min="32" max="37" width="12" bestFit="1" customWidth="1"/>
    <col min="38" max="38" width="10" bestFit="1" customWidth="1"/>
    <col min="39" max="48" width="12" bestFit="1" customWidth="1"/>
    <col min="49" max="49" width="11" bestFit="1" customWidth="1"/>
    <col min="50" max="50" width="12" bestFit="1" customWidth="1"/>
    <col min="51" max="51" width="11" bestFit="1" customWidth="1"/>
    <col min="52" max="53" width="12" bestFit="1" customWidth="1"/>
    <col min="54" max="54" width="11" bestFit="1" customWidth="1"/>
    <col min="55" max="70" width="12" bestFit="1" customWidth="1"/>
    <col min="71" max="72" width="11" bestFit="1" customWidth="1"/>
    <col min="73" max="78" width="12" bestFit="1" customWidth="1"/>
    <col min="79" max="79" width="11" bestFit="1" customWidth="1"/>
    <col min="80" max="85" width="12" bestFit="1" customWidth="1"/>
    <col min="86" max="86" width="11" bestFit="1" customWidth="1"/>
    <col min="87" max="90" width="12" bestFit="1" customWidth="1"/>
    <col min="91" max="91" width="11.28515625" bestFit="1" customWidth="1"/>
  </cols>
  <sheetData>
    <row r="2" spans="1:22" x14ac:dyDescent="0.25">
      <c r="A2" s="2" t="s">
        <v>7</v>
      </c>
      <c r="B2" s="2" t="s">
        <v>1</v>
      </c>
      <c r="C2" s="7" t="s">
        <v>242</v>
      </c>
      <c r="D2" s="7" t="s">
        <v>243</v>
      </c>
      <c r="E2" s="7" t="s">
        <v>16</v>
      </c>
      <c r="F2" s="7" t="s">
        <v>14</v>
      </c>
      <c r="G2" s="5" t="s">
        <v>15</v>
      </c>
      <c r="H2" s="6" t="s">
        <v>225</v>
      </c>
      <c r="I2" s="5" t="s">
        <v>17</v>
      </c>
      <c r="J2" s="5" t="s">
        <v>83</v>
      </c>
      <c r="K2" s="5" t="s">
        <v>84</v>
      </c>
      <c r="L2" s="5" t="s">
        <v>85</v>
      </c>
      <c r="M2" s="5" t="s">
        <v>86</v>
      </c>
      <c r="N2" s="6" t="s">
        <v>226</v>
      </c>
      <c r="O2" s="5" t="s">
        <v>186</v>
      </c>
      <c r="P2" s="5" t="s">
        <v>90</v>
      </c>
      <c r="Q2" s="5" t="s">
        <v>91</v>
      </c>
      <c r="R2" s="5" t="s">
        <v>194</v>
      </c>
      <c r="S2" s="5" t="s">
        <v>92</v>
      </c>
      <c r="T2" s="6" t="s">
        <v>249</v>
      </c>
      <c r="U2" s="6" t="s">
        <v>250</v>
      </c>
      <c r="V2" s="5" t="s">
        <v>18</v>
      </c>
    </row>
    <row r="3" spans="1:22" x14ac:dyDescent="0.25">
      <c r="A3" s="3" t="s">
        <v>173</v>
      </c>
      <c r="C3" s="113">
        <v>363742.53000837599</v>
      </c>
      <c r="D3" s="113">
        <v>-63403.103587706013</v>
      </c>
      <c r="E3" s="7">
        <v>309910.81097350002</v>
      </c>
      <c r="F3" s="7">
        <v>16274.321952132997</v>
      </c>
      <c r="G3" s="5">
        <v>465360.01224381401</v>
      </c>
      <c r="H3" s="92">
        <v>5.2512921059486982E-2</v>
      </c>
      <c r="I3" s="5">
        <v>16363948.988940366</v>
      </c>
      <c r="J3" s="5">
        <v>426472.13008659997</v>
      </c>
      <c r="K3" s="5">
        <v>516912.07464367501</v>
      </c>
      <c r="L3" s="5">
        <v>12219.045980299999</v>
      </c>
      <c r="M3" s="5">
        <v>686.22420460000001</v>
      </c>
      <c r="N3" s="92">
        <v>4.5922279669116259E-2</v>
      </c>
      <c r="O3" s="5">
        <v>-43914.992711687002</v>
      </c>
      <c r="P3" s="5">
        <v>-30575.007195616006</v>
      </c>
      <c r="Q3" s="5">
        <v>26336.32995393399</v>
      </c>
      <c r="R3" s="5">
        <v>-767.24570980900012</v>
      </c>
      <c r="S3" s="5">
        <v>0</v>
      </c>
      <c r="T3" s="113">
        <v>0</v>
      </c>
      <c r="U3" s="113">
        <v>55078.523048118004</v>
      </c>
      <c r="V3" s="5">
        <v>962022.44469616609</v>
      </c>
    </row>
    <row r="4" spans="1:22" x14ac:dyDescent="0.25">
      <c r="A4" s="4">
        <v>1</v>
      </c>
      <c r="B4" s="3" t="s">
        <v>165</v>
      </c>
      <c r="C4" s="113">
        <v>109509.62000114399</v>
      </c>
      <c r="D4" s="113">
        <v>-49053.006048160998</v>
      </c>
      <c r="E4" s="7">
        <v>61213.938391299998</v>
      </c>
      <c r="F4" s="7">
        <v>2090.3062394620001</v>
      </c>
      <c r="G4" s="5">
        <v>74976.129898622996</v>
      </c>
      <c r="H4" s="92">
        <v>3.4147553553899153E-2</v>
      </c>
      <c r="I4" s="5">
        <v>3772479.7456578198</v>
      </c>
      <c r="J4" s="5">
        <v>18423.362223525</v>
      </c>
      <c r="K4" s="5">
        <v>0</v>
      </c>
      <c r="L4" s="5">
        <v>0</v>
      </c>
      <c r="M4" s="5">
        <v>0</v>
      </c>
      <c r="N4" s="92">
        <v>8.7361534690167456E-2</v>
      </c>
      <c r="O4" s="5">
        <v>-1609.4931979999999</v>
      </c>
      <c r="P4" s="5">
        <v>-2028.053956704</v>
      </c>
      <c r="Q4" s="5">
        <v>1094.8733057960001</v>
      </c>
      <c r="R4" s="5">
        <v>-47.033514340000004</v>
      </c>
      <c r="S4" s="5">
        <v>0</v>
      </c>
      <c r="T4" s="113">
        <v>0</v>
      </c>
      <c r="U4" s="113">
        <v>0</v>
      </c>
      <c r="V4" s="5">
        <v>15772.87205577</v>
      </c>
    </row>
    <row r="5" spans="1:22" x14ac:dyDescent="0.25">
      <c r="A5" s="4">
        <v>2</v>
      </c>
      <c r="B5" s="3" t="s">
        <v>146</v>
      </c>
      <c r="C5" s="113">
        <v>0</v>
      </c>
      <c r="D5" s="113">
        <v>1822.724347223</v>
      </c>
      <c r="E5" s="7">
        <v>1839.7832082</v>
      </c>
      <c r="F5" s="7">
        <v>28.798821418999999</v>
      </c>
      <c r="G5" s="5">
        <v>488.54453230199999</v>
      </c>
      <c r="H5" s="92">
        <v>1.5653377686372125E-2</v>
      </c>
      <c r="I5" s="5">
        <v>105900.33265907899</v>
      </c>
      <c r="J5" s="5">
        <v>0.315</v>
      </c>
      <c r="K5" s="5">
        <v>118931.398994125</v>
      </c>
      <c r="L5" s="5">
        <v>0</v>
      </c>
      <c r="M5" s="5">
        <v>0</v>
      </c>
      <c r="N5" s="92">
        <v>5.1912346492416516E-4</v>
      </c>
      <c r="O5" s="5">
        <v>-61.740243458000002</v>
      </c>
      <c r="P5" s="5">
        <v>0</v>
      </c>
      <c r="Q5" s="5">
        <v>0</v>
      </c>
      <c r="R5" s="5">
        <v>-2.7281408310000002</v>
      </c>
      <c r="S5" s="5">
        <v>0</v>
      </c>
      <c r="T5" s="113">
        <v>0</v>
      </c>
      <c r="U5" s="113">
        <v>0</v>
      </c>
      <c r="V5" s="5">
        <v>118867.245609836</v>
      </c>
    </row>
    <row r="6" spans="1:22" x14ac:dyDescent="0.25">
      <c r="A6" s="4">
        <v>3</v>
      </c>
      <c r="B6" s="3" t="s">
        <v>147</v>
      </c>
      <c r="C6" s="113">
        <v>0</v>
      </c>
      <c r="D6" s="113">
        <v>1820.5651736120001</v>
      </c>
      <c r="E6" s="7">
        <v>1840.6887872</v>
      </c>
      <c r="F6" s="7">
        <v>30.165060403999998</v>
      </c>
      <c r="G6" s="5">
        <v>577.33110967699997</v>
      </c>
      <c r="H6" s="92">
        <v>1.638791989920587E-2</v>
      </c>
      <c r="I6" s="5">
        <v>105934.21134522</v>
      </c>
      <c r="J6" s="5">
        <v>0</v>
      </c>
      <c r="K6" s="5">
        <v>117460.79434515</v>
      </c>
      <c r="L6" s="5">
        <v>0</v>
      </c>
      <c r="M6" s="5">
        <v>0</v>
      </c>
      <c r="N6" s="92">
        <v>1.1262554146217753E-3</v>
      </c>
      <c r="O6" s="5">
        <v>-132.29085563699999</v>
      </c>
      <c r="P6" s="5">
        <v>0</v>
      </c>
      <c r="Q6" s="5">
        <v>0</v>
      </c>
      <c r="R6" s="5">
        <v>-2.3300789900000001</v>
      </c>
      <c r="S6" s="5">
        <v>0</v>
      </c>
      <c r="T6" s="113">
        <v>0</v>
      </c>
      <c r="U6" s="113">
        <v>0</v>
      </c>
      <c r="V6" s="5">
        <v>117326.173410523</v>
      </c>
    </row>
    <row r="7" spans="1:22" x14ac:dyDescent="0.25">
      <c r="A7" s="4">
        <v>4</v>
      </c>
      <c r="B7" s="3" t="s">
        <v>148</v>
      </c>
      <c r="C7" s="113">
        <v>0</v>
      </c>
      <c r="D7" s="113">
        <v>0</v>
      </c>
      <c r="E7" s="7">
        <v>0</v>
      </c>
      <c r="F7" s="7">
        <v>0</v>
      </c>
      <c r="G7" s="5">
        <v>0</v>
      </c>
      <c r="H7" s="92">
        <v>0</v>
      </c>
      <c r="I7" s="5">
        <v>0</v>
      </c>
      <c r="J7" s="5">
        <v>0</v>
      </c>
      <c r="K7" s="5">
        <v>111534.043796575</v>
      </c>
      <c r="L7" s="5">
        <v>0</v>
      </c>
      <c r="M7" s="5">
        <v>0</v>
      </c>
      <c r="N7" s="92">
        <v>1.315292716254092E-4</v>
      </c>
      <c r="O7" s="5">
        <v>-14.669991542</v>
      </c>
      <c r="P7" s="5">
        <v>0</v>
      </c>
      <c r="Q7" s="5">
        <v>0</v>
      </c>
      <c r="R7" s="5">
        <v>0</v>
      </c>
      <c r="S7" s="5">
        <v>0</v>
      </c>
      <c r="T7" s="113">
        <v>0</v>
      </c>
      <c r="U7" s="113">
        <v>-482.71520065800001</v>
      </c>
      <c r="V7" s="5">
        <v>111036.658604375</v>
      </c>
    </row>
    <row r="8" spans="1:22" x14ac:dyDescent="0.25">
      <c r="A8" s="4">
        <v>5</v>
      </c>
      <c r="B8" s="3" t="s">
        <v>149</v>
      </c>
      <c r="C8" s="113">
        <v>0</v>
      </c>
      <c r="D8" s="113">
        <v>0</v>
      </c>
      <c r="E8" s="7">
        <v>0</v>
      </c>
      <c r="F8" s="7">
        <v>0</v>
      </c>
      <c r="G8" s="5">
        <v>0</v>
      </c>
      <c r="H8" s="92">
        <v>0</v>
      </c>
      <c r="I8" s="5">
        <v>0</v>
      </c>
      <c r="J8" s="5">
        <v>0</v>
      </c>
      <c r="K8" s="5">
        <v>111005.633007025</v>
      </c>
      <c r="L8" s="5">
        <v>0</v>
      </c>
      <c r="M8" s="5">
        <v>0</v>
      </c>
      <c r="N8" s="92">
        <v>1.6798385814186488E-4</v>
      </c>
      <c r="O8" s="5">
        <v>-18.647154508</v>
      </c>
      <c r="P8" s="5">
        <v>0</v>
      </c>
      <c r="Q8" s="5">
        <v>0</v>
      </c>
      <c r="R8" s="5">
        <v>0</v>
      </c>
      <c r="S8" s="5">
        <v>0</v>
      </c>
      <c r="T8" s="113">
        <v>0</v>
      </c>
      <c r="U8" s="113">
        <v>-1980.0778447739999</v>
      </c>
      <c r="V8" s="5">
        <v>109006.908007743</v>
      </c>
    </row>
    <row r="9" spans="1:22" x14ac:dyDescent="0.25">
      <c r="A9" s="4">
        <v>6</v>
      </c>
      <c r="B9" s="3" t="s">
        <v>166</v>
      </c>
      <c r="C9" s="113">
        <v>1497.360000036</v>
      </c>
      <c r="D9" s="113">
        <v>2731.571458379</v>
      </c>
      <c r="E9" s="7">
        <v>4227.9775754000002</v>
      </c>
      <c r="F9" s="7">
        <v>91.657727656999995</v>
      </c>
      <c r="G9" s="5">
        <v>-3841.161917246</v>
      </c>
      <c r="H9" s="92">
        <v>2.1678858513890877E-2</v>
      </c>
      <c r="I9" s="5">
        <v>260225.25569016501</v>
      </c>
      <c r="J9" s="5">
        <v>0</v>
      </c>
      <c r="K9" s="5">
        <v>57001.0854865</v>
      </c>
      <c r="L9" s="5">
        <v>0</v>
      </c>
      <c r="M9" s="5">
        <v>0</v>
      </c>
      <c r="N9" s="92">
        <v>7.7960443224655188E-2</v>
      </c>
      <c r="O9" s="5">
        <v>-4443.8298888139998</v>
      </c>
      <c r="P9" s="5">
        <v>-937.91139185099996</v>
      </c>
      <c r="Q9" s="5">
        <v>184.38307785000001</v>
      </c>
      <c r="R9" s="5">
        <v>-9.9122093049999993</v>
      </c>
      <c r="S9" s="5">
        <v>0</v>
      </c>
      <c r="T9" s="113">
        <v>0</v>
      </c>
      <c r="U9" s="113">
        <v>0</v>
      </c>
      <c r="V9" s="5">
        <v>51785.173375525002</v>
      </c>
    </row>
    <row r="10" spans="1:22" x14ac:dyDescent="0.25">
      <c r="A10" s="4">
        <v>7</v>
      </c>
      <c r="B10" s="3" t="s">
        <v>163</v>
      </c>
      <c r="C10" s="113">
        <v>18108.36000036</v>
      </c>
      <c r="D10" s="113">
        <v>-1445.4010173470001</v>
      </c>
      <c r="E10" s="7">
        <v>17068.402936999999</v>
      </c>
      <c r="F10" s="7">
        <v>808.85713016900002</v>
      </c>
      <c r="G10" s="5">
        <v>10582.88196984</v>
      </c>
      <c r="H10" s="92">
        <v>4.7389151354963709E-2</v>
      </c>
      <c r="I10" s="5">
        <v>1079017.9167700401</v>
      </c>
      <c r="J10" s="5">
        <v>136657.368142725</v>
      </c>
      <c r="K10" s="5">
        <v>3.2690000000000001</v>
      </c>
      <c r="L10" s="5">
        <v>0</v>
      </c>
      <c r="M10" s="5">
        <v>0</v>
      </c>
      <c r="N10" s="92">
        <v>3.2699333864754251E-2</v>
      </c>
      <c r="O10" s="5">
        <v>-4468.7118000999999</v>
      </c>
      <c r="P10" s="5">
        <v>-6175.0361108489997</v>
      </c>
      <c r="Q10" s="5">
        <v>14219.354757335001</v>
      </c>
      <c r="R10" s="5">
        <v>-33.856619438999999</v>
      </c>
      <c r="S10" s="5">
        <v>0</v>
      </c>
      <c r="T10" s="113">
        <v>0</v>
      </c>
      <c r="U10" s="113">
        <v>7996.157339499</v>
      </c>
      <c r="V10" s="5">
        <v>148166.85406828899</v>
      </c>
    </row>
    <row r="11" spans="1:22" x14ac:dyDescent="0.25">
      <c r="A11" s="4">
        <v>8</v>
      </c>
      <c r="B11" s="3" t="s">
        <v>134</v>
      </c>
      <c r="C11" s="113">
        <v>1220.1099999959999</v>
      </c>
      <c r="D11" s="113">
        <v>568.57666542699997</v>
      </c>
      <c r="E11" s="7">
        <v>2003.8373723</v>
      </c>
      <c r="F11" s="7">
        <v>246.441851945</v>
      </c>
      <c r="G11" s="5">
        <v>7260.0183731850002</v>
      </c>
      <c r="H11" s="92">
        <v>0.12298495643992037</v>
      </c>
      <c r="I11" s="5">
        <v>121622.174354378</v>
      </c>
      <c r="J11" s="5">
        <v>0</v>
      </c>
      <c r="K11" s="5">
        <v>0</v>
      </c>
      <c r="L11" s="5">
        <v>0</v>
      </c>
      <c r="M11" s="5">
        <v>0</v>
      </c>
      <c r="N11" s="92">
        <v>0</v>
      </c>
      <c r="O11" s="5">
        <v>0</v>
      </c>
      <c r="P11" s="5">
        <v>-290.82455778899998</v>
      </c>
      <c r="Q11" s="5">
        <v>270.47455227400002</v>
      </c>
      <c r="R11" s="5">
        <v>-6.7401283879999996</v>
      </c>
      <c r="S11" s="5">
        <v>0</v>
      </c>
      <c r="T11" s="113">
        <v>0</v>
      </c>
      <c r="U11" s="113">
        <v>0</v>
      </c>
      <c r="V11" s="5">
        <v>-27.615755737000001</v>
      </c>
    </row>
    <row r="12" spans="1:22" x14ac:dyDescent="0.25">
      <c r="A12" s="4">
        <v>9</v>
      </c>
      <c r="B12" s="3" t="s">
        <v>133</v>
      </c>
      <c r="C12" s="113">
        <v>3165.120000552</v>
      </c>
      <c r="D12" s="113">
        <v>-1995.58459064</v>
      </c>
      <c r="E12" s="7">
        <v>1233.4836310999999</v>
      </c>
      <c r="F12" s="7">
        <v>82.091046689999999</v>
      </c>
      <c r="G12" s="5">
        <v>5049.9054442460001</v>
      </c>
      <c r="H12" s="92">
        <v>6.6552197872940227E-2</v>
      </c>
      <c r="I12" s="5">
        <v>126036.113332509</v>
      </c>
      <c r="J12" s="5">
        <v>9642.6290788499991</v>
      </c>
      <c r="K12" s="5">
        <v>0</v>
      </c>
      <c r="L12" s="5">
        <v>0</v>
      </c>
      <c r="M12" s="5">
        <v>0</v>
      </c>
      <c r="N12" s="92">
        <v>0.12857326876560302</v>
      </c>
      <c r="O12" s="5">
        <v>-1239.784340162</v>
      </c>
      <c r="P12" s="5">
        <v>-519.02347007900005</v>
      </c>
      <c r="Q12" s="5">
        <v>293.25387624799998</v>
      </c>
      <c r="R12" s="5">
        <v>-3.8725930179999999</v>
      </c>
      <c r="S12" s="5">
        <v>0</v>
      </c>
      <c r="T12" s="113">
        <v>0</v>
      </c>
      <c r="U12" s="113">
        <v>5247.4779763670003</v>
      </c>
      <c r="V12" s="5">
        <v>13420.383214109001</v>
      </c>
    </row>
    <row r="13" spans="1:22" x14ac:dyDescent="0.25">
      <c r="A13" s="4">
        <v>10</v>
      </c>
      <c r="B13" s="3" t="s">
        <v>151</v>
      </c>
      <c r="C13" s="113">
        <v>3082.600000248</v>
      </c>
      <c r="D13" s="113">
        <v>196.748345476</v>
      </c>
      <c r="E13" s="7">
        <v>3853.4592296999999</v>
      </c>
      <c r="F13" s="7">
        <v>702.234249998</v>
      </c>
      <c r="G13" s="5">
        <v>22219.333460556001</v>
      </c>
      <c r="H13" s="92">
        <v>0.18223476833117302</v>
      </c>
      <c r="I13" s="5">
        <v>221042.44427356499</v>
      </c>
      <c r="J13" s="5">
        <v>3158.236418</v>
      </c>
      <c r="K13" s="5">
        <v>0</v>
      </c>
      <c r="L13" s="5">
        <v>2721.337685425</v>
      </c>
      <c r="M13" s="5">
        <v>13.298999999999999</v>
      </c>
      <c r="N13" s="92">
        <v>0.6877311225106002</v>
      </c>
      <c r="O13" s="5">
        <v>-4052.7122342309999</v>
      </c>
      <c r="P13" s="5">
        <v>-1091.6025042220001</v>
      </c>
      <c r="Q13" s="5">
        <v>192.78937725200001</v>
      </c>
      <c r="R13" s="5">
        <v>-24.015200567000001</v>
      </c>
      <c r="S13" s="5">
        <v>0</v>
      </c>
      <c r="T13" s="113">
        <v>0</v>
      </c>
      <c r="U13" s="113">
        <v>0</v>
      </c>
      <c r="V13" s="5">
        <v>911.29887243200005</v>
      </c>
    </row>
    <row r="14" spans="1:22" x14ac:dyDescent="0.25">
      <c r="A14" s="4">
        <v>11</v>
      </c>
      <c r="B14" s="3" t="s">
        <v>152</v>
      </c>
      <c r="C14" s="113">
        <v>2322.300000144</v>
      </c>
      <c r="D14" s="113">
        <v>169.287499978</v>
      </c>
      <c r="E14" s="7">
        <v>2864.0233364000001</v>
      </c>
      <c r="F14" s="7">
        <v>943.442863096</v>
      </c>
      <c r="G14" s="5">
        <v>11992.310157628999</v>
      </c>
      <c r="H14" s="92">
        <v>0.32941172339813479</v>
      </c>
      <c r="I14" s="5">
        <v>172661.85268987401</v>
      </c>
      <c r="J14" s="5">
        <v>3303.723794</v>
      </c>
      <c r="K14" s="5">
        <v>0</v>
      </c>
      <c r="L14" s="5">
        <v>0</v>
      </c>
      <c r="M14" s="5">
        <v>0</v>
      </c>
      <c r="N14" s="92">
        <v>0.66784523825056785</v>
      </c>
      <c r="O14" s="5">
        <v>-2206.376204318</v>
      </c>
      <c r="P14" s="5">
        <v>-732.83891230200004</v>
      </c>
      <c r="Q14" s="5">
        <v>70.114194999000006</v>
      </c>
      <c r="R14" s="5">
        <v>1.723111077</v>
      </c>
      <c r="S14" s="5">
        <v>0</v>
      </c>
      <c r="T14" s="113">
        <v>0</v>
      </c>
      <c r="U14" s="113">
        <v>0</v>
      </c>
      <c r="V14" s="5">
        <v>300.69999323799999</v>
      </c>
    </row>
    <row r="15" spans="1:22" x14ac:dyDescent="0.25">
      <c r="A15" s="4">
        <v>12</v>
      </c>
      <c r="B15" s="3" t="s">
        <v>153</v>
      </c>
      <c r="C15" s="113">
        <v>4169.6500002120001</v>
      </c>
      <c r="D15" s="113">
        <v>174.94932458900001</v>
      </c>
      <c r="E15" s="7">
        <v>4595.7628428999997</v>
      </c>
      <c r="F15" s="7">
        <v>379.33703884400001</v>
      </c>
      <c r="G15" s="5">
        <v>20939.358295776001</v>
      </c>
      <c r="H15" s="92">
        <v>8.2540603553997199E-2</v>
      </c>
      <c r="I15" s="5">
        <v>282569.03667302598</v>
      </c>
      <c r="J15" s="5">
        <v>7044.0990938000004</v>
      </c>
      <c r="K15" s="5">
        <v>0</v>
      </c>
      <c r="L15" s="5">
        <v>0</v>
      </c>
      <c r="M15" s="5">
        <v>0</v>
      </c>
      <c r="N15" s="92">
        <v>0.51422556633256311</v>
      </c>
      <c r="O15" s="5">
        <v>-3622.2558458120002</v>
      </c>
      <c r="P15" s="5">
        <v>-1005.029423883</v>
      </c>
      <c r="Q15" s="5">
        <v>121.585031499</v>
      </c>
      <c r="R15" s="5">
        <v>-29.71162301</v>
      </c>
      <c r="S15" s="5">
        <v>0</v>
      </c>
      <c r="T15" s="113">
        <v>0</v>
      </c>
      <c r="U15" s="113">
        <v>0</v>
      </c>
      <c r="V15" s="5">
        <v>2508.380502729</v>
      </c>
    </row>
    <row r="16" spans="1:22" x14ac:dyDescent="0.25">
      <c r="A16" s="4">
        <v>13</v>
      </c>
      <c r="B16" s="3" t="s">
        <v>154</v>
      </c>
      <c r="C16" s="113">
        <v>53745.100000295999</v>
      </c>
      <c r="D16" s="113">
        <v>25.974718359000001</v>
      </c>
      <c r="E16" s="7">
        <v>53841.949093000003</v>
      </c>
      <c r="F16" s="7">
        <v>512.69378062999999</v>
      </c>
      <c r="G16" s="5">
        <v>886.05300600500004</v>
      </c>
      <c r="H16" s="92">
        <v>9.5221994980983216E-3</v>
      </c>
      <c r="I16" s="5">
        <v>1923759.72931868</v>
      </c>
      <c r="J16" s="5">
        <v>0</v>
      </c>
      <c r="K16" s="5">
        <v>0</v>
      </c>
      <c r="L16" s="5">
        <v>0</v>
      </c>
      <c r="M16" s="5">
        <v>0</v>
      </c>
      <c r="N16" s="92">
        <v>0</v>
      </c>
      <c r="O16" s="5">
        <v>0</v>
      </c>
      <c r="P16" s="5">
        <v>62.252754701999997</v>
      </c>
      <c r="Q16" s="5">
        <v>0</v>
      </c>
      <c r="R16" s="5">
        <v>-57.936900854000001</v>
      </c>
      <c r="S16" s="5">
        <v>0</v>
      </c>
      <c r="T16" s="113">
        <v>0</v>
      </c>
      <c r="U16" s="113">
        <v>0</v>
      </c>
      <c r="V16" s="5">
        <v>-15.662460834000001</v>
      </c>
    </row>
    <row r="17" spans="1:22" x14ac:dyDescent="0.25">
      <c r="A17" s="4">
        <v>14</v>
      </c>
      <c r="B17" s="3" t="s">
        <v>158</v>
      </c>
      <c r="C17" s="113">
        <v>2453.3000001</v>
      </c>
      <c r="D17" s="113">
        <v>118.892713292</v>
      </c>
      <c r="E17" s="7">
        <v>2769.4981911</v>
      </c>
      <c r="F17" s="7">
        <v>214.89336258</v>
      </c>
      <c r="G17" s="5">
        <v>7511.3624807249998</v>
      </c>
      <c r="H17" s="92">
        <v>7.7592887863431978E-2</v>
      </c>
      <c r="I17" s="5">
        <v>159889.17742605999</v>
      </c>
      <c r="J17" s="5">
        <v>0</v>
      </c>
      <c r="K17" s="5">
        <v>0</v>
      </c>
      <c r="L17" s="5">
        <v>0</v>
      </c>
      <c r="M17" s="5">
        <v>0</v>
      </c>
      <c r="N17" s="92">
        <v>0</v>
      </c>
      <c r="O17" s="5">
        <v>0</v>
      </c>
      <c r="P17" s="5">
        <v>-561.84981488999995</v>
      </c>
      <c r="Q17" s="5">
        <v>89.461585752000005</v>
      </c>
      <c r="R17" s="5">
        <v>-1.7008940829999999</v>
      </c>
      <c r="S17" s="5">
        <v>0</v>
      </c>
      <c r="T17" s="113">
        <v>0</v>
      </c>
      <c r="U17" s="113">
        <v>0</v>
      </c>
      <c r="V17" s="5">
        <v>-474.16941317999999</v>
      </c>
    </row>
    <row r="18" spans="1:22" x14ac:dyDescent="0.25">
      <c r="A18" s="4">
        <v>15</v>
      </c>
      <c r="B18" s="3" t="s">
        <v>157</v>
      </c>
      <c r="C18" s="113">
        <v>1544.799999996</v>
      </c>
      <c r="D18" s="113">
        <v>-2.6431258149999999</v>
      </c>
      <c r="E18" s="7">
        <v>1667.0115668999999</v>
      </c>
      <c r="F18" s="7">
        <v>160.26688057300001</v>
      </c>
      <c r="G18" s="5">
        <v>4802.591296087</v>
      </c>
      <c r="H18" s="92">
        <v>9.6140233070508771E-2</v>
      </c>
      <c r="I18" s="5">
        <v>91835.286743061006</v>
      </c>
      <c r="J18" s="5">
        <v>0</v>
      </c>
      <c r="K18" s="5">
        <v>0</v>
      </c>
      <c r="L18" s="5">
        <v>0</v>
      </c>
      <c r="M18" s="5">
        <v>0</v>
      </c>
      <c r="N18" s="92">
        <v>0</v>
      </c>
      <c r="O18" s="5">
        <v>0</v>
      </c>
      <c r="P18" s="5">
        <v>-244.505853648</v>
      </c>
      <c r="Q18" s="5">
        <v>85.652092499000005</v>
      </c>
      <c r="R18" s="5">
        <v>-7.4470752129999997</v>
      </c>
      <c r="S18" s="5">
        <v>0</v>
      </c>
      <c r="T18" s="113">
        <v>0</v>
      </c>
      <c r="U18" s="113">
        <v>0</v>
      </c>
      <c r="V18" s="5">
        <v>-167.50134445699999</v>
      </c>
    </row>
    <row r="19" spans="1:22" x14ac:dyDescent="0.25">
      <c r="A19" s="4">
        <v>16</v>
      </c>
      <c r="B19" s="3" t="s">
        <v>156</v>
      </c>
      <c r="C19" s="113">
        <v>5034.8900003159997</v>
      </c>
      <c r="D19" s="113">
        <v>-6.44770822</v>
      </c>
      <c r="E19" s="7">
        <v>5271.6311531000001</v>
      </c>
      <c r="F19" s="7">
        <v>473.55386325699999</v>
      </c>
      <c r="G19" s="5">
        <v>2244.8581425319999</v>
      </c>
      <c r="H19" s="92">
        <v>8.98306139985771E-2</v>
      </c>
      <c r="I19" s="5">
        <v>281850.48978752003</v>
      </c>
      <c r="J19" s="5">
        <v>0</v>
      </c>
      <c r="K19" s="5">
        <v>0</v>
      </c>
      <c r="L19" s="5">
        <v>0</v>
      </c>
      <c r="M19" s="5">
        <v>0</v>
      </c>
      <c r="N19" s="92">
        <v>0</v>
      </c>
      <c r="O19" s="5">
        <v>0</v>
      </c>
      <c r="P19" s="5">
        <v>-895.393216284</v>
      </c>
      <c r="Q19" s="5">
        <v>208.36753038399999</v>
      </c>
      <c r="R19" s="5">
        <v>-40.182074323999998</v>
      </c>
      <c r="S19" s="5">
        <v>0</v>
      </c>
      <c r="T19" s="113">
        <v>0</v>
      </c>
      <c r="U19" s="113">
        <v>0</v>
      </c>
      <c r="V19" s="5">
        <v>-732.45647464900003</v>
      </c>
    </row>
    <row r="20" spans="1:22" x14ac:dyDescent="0.25">
      <c r="A20" s="4">
        <v>17</v>
      </c>
      <c r="B20" s="3" t="s">
        <v>155</v>
      </c>
      <c r="C20" s="113">
        <v>948.50000013600004</v>
      </c>
      <c r="D20" s="113">
        <v>18.772083357</v>
      </c>
      <c r="E20" s="7">
        <v>1290.7126985</v>
      </c>
      <c r="F20" s="7">
        <v>324.21780801300002</v>
      </c>
      <c r="G20" s="5">
        <v>10223.858103602999</v>
      </c>
      <c r="H20" s="92">
        <v>0.25119285522625545</v>
      </c>
      <c r="I20" s="5">
        <v>74014.325933258995</v>
      </c>
      <c r="J20" s="5">
        <v>0</v>
      </c>
      <c r="K20" s="5">
        <v>0</v>
      </c>
      <c r="L20" s="5">
        <v>0</v>
      </c>
      <c r="M20" s="5">
        <v>0</v>
      </c>
      <c r="N20" s="92">
        <v>0</v>
      </c>
      <c r="O20" s="5">
        <v>0</v>
      </c>
      <c r="P20" s="5">
        <v>-133.03216028400001</v>
      </c>
      <c r="Q20" s="5">
        <v>0</v>
      </c>
      <c r="R20" s="5">
        <v>-0.10305946000000001</v>
      </c>
      <c r="S20" s="5">
        <v>0</v>
      </c>
      <c r="T20" s="113">
        <v>0</v>
      </c>
      <c r="U20" s="113">
        <v>0</v>
      </c>
      <c r="V20" s="5">
        <v>-133.214449892</v>
      </c>
    </row>
    <row r="21" spans="1:22" x14ac:dyDescent="0.25">
      <c r="A21" s="4">
        <v>18</v>
      </c>
      <c r="B21" s="3" t="s">
        <v>160</v>
      </c>
      <c r="C21" s="113">
        <v>2012.85</v>
      </c>
      <c r="D21" s="113">
        <v>-151.805206078</v>
      </c>
      <c r="E21" s="7">
        <v>2095.6951174999999</v>
      </c>
      <c r="F21" s="7">
        <v>245.16180752</v>
      </c>
      <c r="G21" s="5">
        <v>23247.304549578999</v>
      </c>
      <c r="H21" s="92">
        <v>0.11698352755264269</v>
      </c>
      <c r="I21" s="5">
        <v>154934.64237078099</v>
      </c>
      <c r="J21" s="5">
        <v>1488.7913805000001</v>
      </c>
      <c r="K21" s="5">
        <v>0</v>
      </c>
      <c r="L21" s="5">
        <v>0</v>
      </c>
      <c r="M21" s="5">
        <v>0</v>
      </c>
      <c r="N21" s="92">
        <v>9.7169637972658856E-3</v>
      </c>
      <c r="O21" s="5">
        <v>-14.466531946</v>
      </c>
      <c r="P21" s="5">
        <v>-521.94816629100001</v>
      </c>
      <c r="Q21" s="5">
        <v>360.53790920400002</v>
      </c>
      <c r="R21" s="5">
        <v>-1.7623294169999999</v>
      </c>
      <c r="S21" s="5">
        <v>0</v>
      </c>
      <c r="T21" s="113">
        <v>0</v>
      </c>
      <c r="U21" s="113">
        <v>0</v>
      </c>
      <c r="V21" s="5">
        <v>1310.64836216</v>
      </c>
    </row>
    <row r="22" spans="1:22" x14ac:dyDescent="0.25">
      <c r="A22" s="4">
        <v>19</v>
      </c>
      <c r="B22" s="3" t="s">
        <v>162</v>
      </c>
      <c r="C22" s="113">
        <v>1677.7299998880001</v>
      </c>
      <c r="D22" s="113">
        <v>-347.70168589799999</v>
      </c>
      <c r="E22" s="7">
        <v>1552.1330449</v>
      </c>
      <c r="F22" s="7">
        <v>302.48198223200001</v>
      </c>
      <c r="G22" s="5">
        <v>18755.507365738002</v>
      </c>
      <c r="H22" s="92">
        <v>0.19488147825078239</v>
      </c>
      <c r="I22" s="5">
        <v>160690.50262578201</v>
      </c>
      <c r="J22" s="5">
        <v>28552.382189299999</v>
      </c>
      <c r="K22" s="5">
        <v>0</v>
      </c>
      <c r="L22" s="5">
        <v>0</v>
      </c>
      <c r="M22" s="5">
        <v>0</v>
      </c>
      <c r="N22" s="92">
        <v>0.32794953505154678</v>
      </c>
      <c r="O22" s="5">
        <v>-9363.7404635950006</v>
      </c>
      <c r="P22" s="5">
        <v>-291.06454984800001</v>
      </c>
      <c r="Q22" s="5">
        <v>2062.5786690989999</v>
      </c>
      <c r="R22" s="5">
        <v>-6.3446186569999998</v>
      </c>
      <c r="S22" s="5">
        <v>0</v>
      </c>
      <c r="T22" s="113">
        <v>0</v>
      </c>
      <c r="U22" s="113">
        <v>8860.4793177930005</v>
      </c>
      <c r="V22" s="5">
        <v>29814.289995337</v>
      </c>
    </row>
    <row r="23" spans="1:22" x14ac:dyDescent="0.25">
      <c r="A23" s="4">
        <v>20</v>
      </c>
      <c r="B23" s="3" t="s">
        <v>159</v>
      </c>
      <c r="C23" s="113">
        <v>987.80000011200002</v>
      </c>
      <c r="D23" s="113">
        <v>108.662500022</v>
      </c>
      <c r="E23" s="7">
        <v>1196.4815068</v>
      </c>
      <c r="F23" s="7">
        <v>98.363529001000003</v>
      </c>
      <c r="G23" s="5">
        <v>4556.3032888280004</v>
      </c>
      <c r="H23" s="92">
        <v>8.2210655527868617E-2</v>
      </c>
      <c r="I23" s="5">
        <v>73808.084510617002</v>
      </c>
      <c r="J23" s="5">
        <v>0</v>
      </c>
      <c r="K23" s="5">
        <v>0</v>
      </c>
      <c r="L23" s="5">
        <v>0</v>
      </c>
      <c r="M23" s="5">
        <v>0</v>
      </c>
      <c r="N23" s="92">
        <v>0</v>
      </c>
      <c r="O23" s="5">
        <v>0</v>
      </c>
      <c r="P23" s="5">
        <v>-45.473602237000001</v>
      </c>
      <c r="Q23" s="5">
        <v>3.766095</v>
      </c>
      <c r="R23" s="5">
        <v>-6.817371E-3</v>
      </c>
      <c r="S23" s="5">
        <v>0</v>
      </c>
      <c r="T23" s="113">
        <v>0</v>
      </c>
      <c r="U23" s="113">
        <v>0</v>
      </c>
      <c r="V23" s="5">
        <v>-41.714324607999998</v>
      </c>
    </row>
    <row r="24" spans="1:22" x14ac:dyDescent="0.25">
      <c r="A24" s="4">
        <v>21</v>
      </c>
      <c r="B24" s="3" t="s">
        <v>161</v>
      </c>
      <c r="C24" s="113">
        <v>1518.229999956</v>
      </c>
      <c r="D24" s="113">
        <v>-39.323318962000002</v>
      </c>
      <c r="E24" s="7">
        <v>1468.739632</v>
      </c>
      <c r="F24" s="7">
        <v>198.637103696</v>
      </c>
      <c r="G24" s="5">
        <v>201.23836577200001</v>
      </c>
      <c r="H24" s="92">
        <v>0.13524323805813937</v>
      </c>
      <c r="I24" s="5">
        <v>123688.24752370099</v>
      </c>
      <c r="J24" s="5">
        <v>47770.622177450001</v>
      </c>
      <c r="K24" s="5">
        <v>975.8500143</v>
      </c>
      <c r="L24" s="5">
        <v>0</v>
      </c>
      <c r="M24" s="5">
        <v>0</v>
      </c>
      <c r="N24" s="92">
        <v>7.5280222102042937E-2</v>
      </c>
      <c r="O24" s="5">
        <v>-3669.6452532859998</v>
      </c>
      <c r="P24" s="5">
        <v>-11.186969553999999</v>
      </c>
      <c r="Q24" s="5">
        <v>694.33122247300003</v>
      </c>
      <c r="R24" s="5">
        <v>-30.287878388999999</v>
      </c>
      <c r="S24" s="5">
        <v>0</v>
      </c>
      <c r="T24" s="113">
        <v>0</v>
      </c>
      <c r="U24" s="113">
        <v>0</v>
      </c>
      <c r="V24" s="5">
        <v>45727.418942142001</v>
      </c>
    </row>
    <row r="25" spans="1:22" x14ac:dyDescent="0.25">
      <c r="A25" s="4">
        <v>22</v>
      </c>
      <c r="B25" s="3" t="s">
        <v>164</v>
      </c>
      <c r="C25" s="113">
        <v>29204.849999964001</v>
      </c>
      <c r="D25" s="113">
        <v>-194.24527131299999</v>
      </c>
      <c r="E25" s="7">
        <v>30370.0072186</v>
      </c>
      <c r="F25" s="7">
        <v>2794.5543008730001</v>
      </c>
      <c r="G25" s="5">
        <v>48124.324330609998</v>
      </c>
      <c r="H25" s="92">
        <v>9.2016912632193429E-2</v>
      </c>
      <c r="I25" s="5">
        <v>1696678.24050827</v>
      </c>
      <c r="J25" s="5">
        <v>0</v>
      </c>
      <c r="K25" s="5">
        <v>0</v>
      </c>
      <c r="L25" s="5">
        <v>0</v>
      </c>
      <c r="M25" s="5">
        <v>0</v>
      </c>
      <c r="N25" s="92">
        <v>0</v>
      </c>
      <c r="O25" s="5">
        <v>0</v>
      </c>
      <c r="P25" s="5">
        <v>-4019.667298675</v>
      </c>
      <c r="Q25" s="5">
        <v>445.85244080699999</v>
      </c>
      <c r="R25" s="5">
        <v>-256.51433624600003</v>
      </c>
      <c r="S25" s="5">
        <v>0</v>
      </c>
      <c r="T25" s="113">
        <v>0</v>
      </c>
      <c r="U25" s="113">
        <v>0</v>
      </c>
      <c r="V25" s="5">
        <v>-3886.459952492</v>
      </c>
    </row>
    <row r="26" spans="1:22" x14ac:dyDescent="0.25">
      <c r="A26" s="4">
        <v>23</v>
      </c>
      <c r="B26" s="3" t="s">
        <v>169</v>
      </c>
      <c r="C26" s="113">
        <v>75212.059999692006</v>
      </c>
      <c r="D26" s="113">
        <v>-6375.8170298240002</v>
      </c>
      <c r="E26" s="7">
        <v>70004.660600200004</v>
      </c>
      <c r="F26" s="7">
        <v>1798.0170132830001</v>
      </c>
      <c r="G26" s="5">
        <v>77716.836849419997</v>
      </c>
      <c r="H26" s="92">
        <v>2.568424727535731E-2</v>
      </c>
      <c r="I26" s="5">
        <v>3037275.8068792098</v>
      </c>
      <c r="J26" s="5">
        <v>32350.20986205</v>
      </c>
      <c r="K26" s="5">
        <v>0</v>
      </c>
      <c r="L26" s="5">
        <v>9497.7082948749994</v>
      </c>
      <c r="M26" s="5">
        <v>672.92520460000003</v>
      </c>
      <c r="N26" s="92">
        <v>5.151358497870212E-2</v>
      </c>
      <c r="O26" s="5">
        <v>-2190.4010778699999</v>
      </c>
      <c r="P26" s="5">
        <v>-6271.340132409</v>
      </c>
      <c r="Q26" s="5">
        <v>0</v>
      </c>
      <c r="R26" s="5">
        <v>-57.126238938999997</v>
      </c>
      <c r="S26" s="5">
        <v>0</v>
      </c>
      <c r="T26" s="113">
        <v>0</v>
      </c>
      <c r="U26" s="113">
        <v>0</v>
      </c>
      <c r="V26" s="5">
        <v>33959.415648463997</v>
      </c>
    </row>
    <row r="27" spans="1:22" x14ac:dyDescent="0.25">
      <c r="A27" s="4">
        <v>24</v>
      </c>
      <c r="B27" s="3" t="s">
        <v>170</v>
      </c>
      <c r="C27" s="113">
        <v>2903.8000003560001</v>
      </c>
      <c r="D27" s="113">
        <v>68.889583423000005</v>
      </c>
      <c r="E27" s="7">
        <v>3318.8195357</v>
      </c>
      <c r="F27" s="7">
        <v>346.41463973999998</v>
      </c>
      <c r="G27" s="5">
        <v>16571.422457887002</v>
      </c>
      <c r="H27" s="92">
        <v>0.10437887206992555</v>
      </c>
      <c r="I27" s="5">
        <v>198107.65060557699</v>
      </c>
      <c r="J27" s="5">
        <v>0</v>
      </c>
      <c r="K27" s="5">
        <v>0</v>
      </c>
      <c r="L27" s="5">
        <v>0</v>
      </c>
      <c r="M27" s="5">
        <v>0</v>
      </c>
      <c r="N27" s="92">
        <v>0</v>
      </c>
      <c r="O27" s="5">
        <v>0</v>
      </c>
      <c r="P27" s="5">
        <v>-738.33049555900004</v>
      </c>
      <c r="Q27" s="5">
        <v>36.468934500000003</v>
      </c>
      <c r="R27" s="5">
        <v>0.28051715399999999</v>
      </c>
      <c r="S27" s="5">
        <v>0</v>
      </c>
      <c r="T27" s="113">
        <v>0</v>
      </c>
      <c r="U27" s="113">
        <v>0</v>
      </c>
      <c r="V27" s="5">
        <v>-701.92833416799999</v>
      </c>
    </row>
    <row r="28" spans="1:22" x14ac:dyDescent="0.25">
      <c r="A28" s="4">
        <v>25</v>
      </c>
      <c r="B28" s="3" t="s">
        <v>171</v>
      </c>
      <c r="C28" s="113">
        <v>13815.400000644</v>
      </c>
      <c r="D28" s="113">
        <v>-66.606041247999997</v>
      </c>
      <c r="E28" s="7">
        <v>14636.456707400001</v>
      </c>
      <c r="F28" s="7">
        <v>1073.4534779959999</v>
      </c>
      <c r="G28" s="5">
        <v>28784.024345963</v>
      </c>
      <c r="H28" s="92">
        <v>7.3341075606999609E-2</v>
      </c>
      <c r="I28" s="5">
        <v>686571.929533166</v>
      </c>
      <c r="J28" s="5">
        <v>0</v>
      </c>
      <c r="K28" s="5">
        <v>0</v>
      </c>
      <c r="L28" s="5">
        <v>0</v>
      </c>
      <c r="M28" s="5">
        <v>0</v>
      </c>
      <c r="N28" s="92">
        <v>0</v>
      </c>
      <c r="O28" s="5">
        <v>0</v>
      </c>
      <c r="P28" s="5">
        <v>-2271.6557941619999</v>
      </c>
      <c r="Q28" s="5">
        <v>30.607667085999999</v>
      </c>
      <c r="R28" s="5">
        <v>-27.491888781</v>
      </c>
      <c r="S28" s="5">
        <v>0</v>
      </c>
      <c r="T28" s="113">
        <v>0</v>
      </c>
      <c r="U28" s="113">
        <v>0</v>
      </c>
      <c r="V28" s="5">
        <v>-2282.5348466280002</v>
      </c>
    </row>
    <row r="29" spans="1:22" x14ac:dyDescent="0.25">
      <c r="A29" s="4">
        <v>26</v>
      </c>
      <c r="B29" s="3" t="s">
        <v>172</v>
      </c>
      <c r="C29" s="113">
        <v>2898.7000001040001</v>
      </c>
      <c r="D29" s="113">
        <v>58.308333388999998</v>
      </c>
      <c r="E29" s="7">
        <v>3290.9745610999998</v>
      </c>
      <c r="F29" s="7">
        <v>339.13665120000002</v>
      </c>
      <c r="G29" s="5">
        <v>16229.197992961999</v>
      </c>
      <c r="H29" s="92">
        <v>0.10305052345547286</v>
      </c>
      <c r="I29" s="5">
        <v>196852.942822882</v>
      </c>
      <c r="J29" s="5">
        <v>0</v>
      </c>
      <c r="K29" s="5">
        <v>0</v>
      </c>
      <c r="L29" s="5">
        <v>0</v>
      </c>
      <c r="M29" s="5">
        <v>0</v>
      </c>
      <c r="N29" s="92">
        <v>0</v>
      </c>
      <c r="O29" s="5">
        <v>0</v>
      </c>
      <c r="P29" s="5">
        <v>-680.92736404799996</v>
      </c>
      <c r="Q29" s="5">
        <v>29.259980499000001</v>
      </c>
      <c r="R29" s="5">
        <v>-1.212715969</v>
      </c>
      <c r="S29" s="5">
        <v>0</v>
      </c>
      <c r="T29" s="113">
        <v>0</v>
      </c>
      <c r="U29" s="113">
        <v>0</v>
      </c>
      <c r="V29" s="5">
        <v>-652.88009951799995</v>
      </c>
    </row>
    <row r="30" spans="1:22" x14ac:dyDescent="0.25">
      <c r="A30" s="4">
        <v>27</v>
      </c>
      <c r="B30" s="3" t="s">
        <v>135</v>
      </c>
      <c r="C30" s="113">
        <v>749.03000007599996</v>
      </c>
      <c r="D30" s="113">
        <v>-217.65375899399999</v>
      </c>
      <c r="E30" s="7">
        <v>558.22576319999996</v>
      </c>
      <c r="F30" s="7">
        <v>62.637841418000001</v>
      </c>
      <c r="G30" s="5">
        <v>3065.267967068</v>
      </c>
      <c r="H30" s="92">
        <v>0.11220879713421296</v>
      </c>
      <c r="I30" s="5">
        <v>56953.664785808003</v>
      </c>
      <c r="J30" s="5">
        <v>16081.2268277</v>
      </c>
      <c r="K30" s="5">
        <v>0</v>
      </c>
      <c r="L30" s="5">
        <v>0</v>
      </c>
      <c r="M30" s="5">
        <v>0</v>
      </c>
      <c r="N30" s="92">
        <v>4.4611616695018459E-2</v>
      </c>
      <c r="O30" s="5">
        <v>-717.40952722300005</v>
      </c>
      <c r="P30" s="5">
        <v>-276.74024637299999</v>
      </c>
      <c r="Q30" s="5">
        <v>0</v>
      </c>
      <c r="R30" s="5">
        <v>-8.3941027649999995</v>
      </c>
      <c r="S30" s="5">
        <v>0</v>
      </c>
      <c r="T30" s="113">
        <v>0</v>
      </c>
      <c r="U30" s="113">
        <v>5387.4108001439999</v>
      </c>
      <c r="V30" s="5">
        <v>20466.093751483</v>
      </c>
    </row>
    <row r="31" spans="1:22" x14ac:dyDescent="0.25">
      <c r="A31" s="4">
        <v>28</v>
      </c>
      <c r="B31" s="3" t="s">
        <v>136</v>
      </c>
      <c r="C31" s="113">
        <v>672.20000010000001</v>
      </c>
      <c r="D31" s="113">
        <v>-230.21000734500001</v>
      </c>
      <c r="E31" s="7">
        <v>462.31959510000002</v>
      </c>
      <c r="F31" s="7">
        <v>36.860523043000001</v>
      </c>
      <c r="G31" s="5">
        <v>3131.1994445619998</v>
      </c>
      <c r="H31" s="92">
        <v>7.9729527871357148E-2</v>
      </c>
      <c r="I31" s="5">
        <v>50816.198646757002</v>
      </c>
      <c r="J31" s="5">
        <v>14461.041735000001</v>
      </c>
      <c r="K31" s="5">
        <v>0</v>
      </c>
      <c r="L31" s="5">
        <v>0</v>
      </c>
      <c r="M31" s="5">
        <v>0</v>
      </c>
      <c r="N31" s="92">
        <v>7.1399037555367376E-2</v>
      </c>
      <c r="O31" s="5">
        <v>-1032.504461927</v>
      </c>
      <c r="P31" s="5">
        <v>-218.91709745700001</v>
      </c>
      <c r="Q31" s="5">
        <v>0</v>
      </c>
      <c r="R31" s="5">
        <v>-3.8006674020000002</v>
      </c>
      <c r="S31" s="5">
        <v>0</v>
      </c>
      <c r="T31" s="113">
        <v>0</v>
      </c>
      <c r="U31" s="113">
        <v>5200.8338054289998</v>
      </c>
      <c r="V31" s="5">
        <v>18406.576676051998</v>
      </c>
    </row>
    <row r="32" spans="1:22" x14ac:dyDescent="0.25">
      <c r="A32" s="4">
        <v>29</v>
      </c>
      <c r="B32" s="3" t="s">
        <v>137</v>
      </c>
      <c r="C32" s="113">
        <v>1357.6200001320001</v>
      </c>
      <c r="D32" s="113">
        <v>-400.16792053199998</v>
      </c>
      <c r="E32" s="7">
        <v>1036.7345373999999</v>
      </c>
      <c r="F32" s="7">
        <v>103.926831976</v>
      </c>
      <c r="G32" s="5">
        <v>363.17671240300001</v>
      </c>
      <c r="H32" s="92">
        <v>0.10024440030389598</v>
      </c>
      <c r="I32" s="5">
        <v>85718.653398905997</v>
      </c>
      <c r="J32" s="5">
        <v>18584.5151506</v>
      </c>
      <c r="K32" s="5">
        <v>0</v>
      </c>
      <c r="L32" s="5">
        <v>0</v>
      </c>
      <c r="M32" s="5">
        <v>0</v>
      </c>
      <c r="N32" s="92">
        <v>3.1004776844468663E-2</v>
      </c>
      <c r="O32" s="5">
        <v>-576.20874500699995</v>
      </c>
      <c r="P32" s="5">
        <v>-166.68762681300001</v>
      </c>
      <c r="Q32" s="5">
        <v>447.11995999800001</v>
      </c>
      <c r="R32" s="5">
        <v>-5.779940463</v>
      </c>
      <c r="S32" s="5">
        <v>0</v>
      </c>
      <c r="T32" s="113">
        <v>0</v>
      </c>
      <c r="U32" s="113">
        <v>5597.3099269730001</v>
      </c>
      <c r="V32" s="5">
        <v>23880.268361507999</v>
      </c>
    </row>
    <row r="33" spans="1:22" x14ac:dyDescent="0.25">
      <c r="A33" s="4">
        <v>30</v>
      </c>
      <c r="B33" s="3" t="s">
        <v>138</v>
      </c>
      <c r="C33" s="113">
        <v>1402.350000144</v>
      </c>
      <c r="D33" s="113">
        <v>-376.65979552800002</v>
      </c>
      <c r="E33" s="7">
        <v>1114.2058761999999</v>
      </c>
      <c r="F33" s="7">
        <v>98.273895400000001</v>
      </c>
      <c r="G33" s="5">
        <v>7769.204779402</v>
      </c>
      <c r="H33" s="92">
        <v>8.8200841064636284E-2</v>
      </c>
      <c r="I33" s="5">
        <v>99844.282518677996</v>
      </c>
      <c r="J33" s="5">
        <v>20106.915951499999</v>
      </c>
      <c r="K33" s="5">
        <v>0</v>
      </c>
      <c r="L33" s="5">
        <v>0</v>
      </c>
      <c r="M33" s="5">
        <v>0</v>
      </c>
      <c r="N33" s="92">
        <v>3.4687100962292002E-2</v>
      </c>
      <c r="O33" s="5">
        <v>-697.45062365000001</v>
      </c>
      <c r="P33" s="5">
        <v>157.72126433700001</v>
      </c>
      <c r="Q33" s="5">
        <v>121.48941000000001</v>
      </c>
      <c r="R33" s="5">
        <v>-2.288678703</v>
      </c>
      <c r="S33" s="5">
        <v>0</v>
      </c>
      <c r="T33" s="113">
        <v>0</v>
      </c>
      <c r="U33" s="113">
        <v>5597.3099269730001</v>
      </c>
      <c r="V33" s="5">
        <v>25283.697151785</v>
      </c>
    </row>
    <row r="34" spans="1:22" x14ac:dyDescent="0.25">
      <c r="A34" s="4">
        <v>31</v>
      </c>
      <c r="B34" s="3" t="s">
        <v>139</v>
      </c>
      <c r="C34" s="113">
        <v>1480.8800001479999</v>
      </c>
      <c r="D34" s="113">
        <v>-322.13667571500002</v>
      </c>
      <c r="E34" s="7">
        <v>1248.9985551</v>
      </c>
      <c r="F34" s="7">
        <v>110.734829354</v>
      </c>
      <c r="G34" s="5">
        <v>4576.8108338149996</v>
      </c>
      <c r="H34" s="92">
        <v>8.8658893080251891E-2</v>
      </c>
      <c r="I34" s="5">
        <v>114176.558386427</v>
      </c>
      <c r="J34" s="5">
        <v>21400.1079684</v>
      </c>
      <c r="K34" s="5">
        <v>0</v>
      </c>
      <c r="L34" s="5">
        <v>0</v>
      </c>
      <c r="M34" s="5">
        <v>0</v>
      </c>
      <c r="N34" s="92">
        <v>2.8197843616352396E-2</v>
      </c>
      <c r="O34" s="5">
        <v>-603.43689786599998</v>
      </c>
      <c r="P34" s="5">
        <v>-316.81946931099998</v>
      </c>
      <c r="Q34" s="5">
        <v>572.78046000100005</v>
      </c>
      <c r="R34" s="5">
        <v>-2.9009774560000001</v>
      </c>
      <c r="S34" s="5">
        <v>0</v>
      </c>
      <c r="T34" s="113">
        <v>0</v>
      </c>
      <c r="U34" s="113">
        <v>5597.3099269730001</v>
      </c>
      <c r="V34" s="5">
        <v>26645.166346424001</v>
      </c>
    </row>
    <row r="35" spans="1:22" x14ac:dyDescent="0.25">
      <c r="A35" s="4">
        <v>32</v>
      </c>
      <c r="B35" s="3" t="s">
        <v>140</v>
      </c>
      <c r="C35" s="113">
        <v>3403.6100005799999</v>
      </c>
      <c r="D35" s="113">
        <v>-1881.513146147</v>
      </c>
      <c r="E35" s="7">
        <v>1592.858592</v>
      </c>
      <c r="F35" s="7">
        <v>160.49306735299999</v>
      </c>
      <c r="G35" s="5">
        <v>11.322391603</v>
      </c>
      <c r="H35" s="92">
        <v>0.10075788783703907</v>
      </c>
      <c r="I35" s="5">
        <v>144824.21313931199</v>
      </c>
      <c r="J35" s="5">
        <v>12799.852521425</v>
      </c>
      <c r="K35" s="5">
        <v>0</v>
      </c>
      <c r="L35" s="5">
        <v>0</v>
      </c>
      <c r="M35" s="5">
        <v>0</v>
      </c>
      <c r="N35" s="92">
        <v>3.0419396167203055E-2</v>
      </c>
      <c r="O35" s="5">
        <v>-389.36378473100001</v>
      </c>
      <c r="P35" s="5">
        <v>-529.49753600500003</v>
      </c>
      <c r="Q35" s="5">
        <v>821.93256254200003</v>
      </c>
      <c r="R35" s="5">
        <v>-17.674495541999999</v>
      </c>
      <c r="S35" s="5">
        <v>0</v>
      </c>
      <c r="T35" s="113">
        <v>0</v>
      </c>
      <c r="U35" s="113">
        <v>4960.5392882320002</v>
      </c>
      <c r="V35" s="5">
        <v>17642.452835573</v>
      </c>
    </row>
    <row r="36" spans="1:22" x14ac:dyDescent="0.25">
      <c r="A36" s="4">
        <v>33</v>
      </c>
      <c r="B36" s="3" t="s">
        <v>141</v>
      </c>
      <c r="C36" s="113">
        <v>3246.8800005480002</v>
      </c>
      <c r="D36" s="113">
        <v>-2166.267500291</v>
      </c>
      <c r="E36" s="7">
        <v>1113.2619970000001</v>
      </c>
      <c r="F36" s="7">
        <v>142.131580173</v>
      </c>
      <c r="G36" s="5">
        <v>4619.9687368699997</v>
      </c>
      <c r="H36" s="92">
        <v>0.12767127644347318</v>
      </c>
      <c r="I36" s="5">
        <v>53155.408221072998</v>
      </c>
      <c r="J36" s="5">
        <v>7607.7061673999997</v>
      </c>
      <c r="K36" s="5">
        <v>0</v>
      </c>
      <c r="L36" s="5">
        <v>0</v>
      </c>
      <c r="M36" s="5">
        <v>0</v>
      </c>
      <c r="N36" s="92">
        <v>0.10548894743358252</v>
      </c>
      <c r="O36" s="5">
        <v>-802.52891598300005</v>
      </c>
      <c r="P36" s="5">
        <v>-254.55503411999999</v>
      </c>
      <c r="Q36" s="5">
        <v>97.609205501999995</v>
      </c>
      <c r="R36" s="5">
        <v>-23.719721703000001</v>
      </c>
      <c r="S36" s="5">
        <v>0</v>
      </c>
      <c r="T36" s="113">
        <v>0</v>
      </c>
      <c r="U36" s="113">
        <v>0</v>
      </c>
      <c r="V36" s="5">
        <v>6622.5525453299997</v>
      </c>
    </row>
    <row r="37" spans="1:22" x14ac:dyDescent="0.25">
      <c r="A37" s="4">
        <v>34</v>
      </c>
      <c r="B37" s="3" t="s">
        <v>142</v>
      </c>
      <c r="C37" s="113">
        <v>636.82000012799995</v>
      </c>
      <c r="D37" s="113">
        <v>551.036477354</v>
      </c>
      <c r="E37" s="7">
        <v>1291.2275500999999</v>
      </c>
      <c r="F37" s="7">
        <v>164.058246642</v>
      </c>
      <c r="G37" s="5">
        <v>10134.415796423</v>
      </c>
      <c r="H37" s="92">
        <v>0.12705603023207987</v>
      </c>
      <c r="I37" s="5">
        <v>100627.625881663</v>
      </c>
      <c r="J37" s="5">
        <v>19862.392761075</v>
      </c>
      <c r="K37" s="5">
        <v>0</v>
      </c>
      <c r="L37" s="5">
        <v>0</v>
      </c>
      <c r="M37" s="5">
        <v>0</v>
      </c>
      <c r="N37" s="92">
        <v>4.4083626512962486E-2</v>
      </c>
      <c r="O37" s="5">
        <v>-875.60630413299998</v>
      </c>
      <c r="P37" s="5">
        <v>-298.49710826900002</v>
      </c>
      <c r="Q37" s="5">
        <v>1216.9893525289999</v>
      </c>
      <c r="R37" s="5">
        <v>-12.782483681</v>
      </c>
      <c r="S37" s="5">
        <v>0</v>
      </c>
      <c r="T37" s="113">
        <v>0</v>
      </c>
      <c r="U37" s="113">
        <v>3096.4877851669999</v>
      </c>
      <c r="V37" s="5">
        <v>22988.941559714</v>
      </c>
    </row>
    <row r="38" spans="1:22" x14ac:dyDescent="0.25">
      <c r="A38" s="4">
        <v>35</v>
      </c>
      <c r="B38" s="3" t="s">
        <v>143</v>
      </c>
      <c r="C38" s="113">
        <v>4416.2200003919997</v>
      </c>
      <c r="D38" s="113">
        <v>-2961.8020984660002</v>
      </c>
      <c r="E38" s="7">
        <v>1653.7079458999999</v>
      </c>
      <c r="F38" s="7">
        <v>221.68159013600001</v>
      </c>
      <c r="G38" s="5">
        <v>8487.8798027150006</v>
      </c>
      <c r="H38" s="92">
        <v>0.13405123358426746</v>
      </c>
      <c r="I38" s="5">
        <v>148783.655004222</v>
      </c>
      <c r="J38" s="5">
        <v>4138.8089932250004</v>
      </c>
      <c r="K38" s="5">
        <v>0</v>
      </c>
      <c r="L38" s="5">
        <v>0</v>
      </c>
      <c r="M38" s="5">
        <v>0</v>
      </c>
      <c r="N38" s="92">
        <v>0.16789214552651963</v>
      </c>
      <c r="O38" s="5">
        <v>-694.87352179699997</v>
      </c>
      <c r="P38" s="5">
        <v>612.86104396500002</v>
      </c>
      <c r="Q38" s="5">
        <v>155.70886424700001</v>
      </c>
      <c r="R38" s="5">
        <v>-0.74767478700000001</v>
      </c>
      <c r="S38" s="5">
        <v>0</v>
      </c>
      <c r="T38" s="113">
        <v>0</v>
      </c>
      <c r="U38" s="113">
        <v>0</v>
      </c>
      <c r="V38" s="5">
        <v>4207.5681393490004</v>
      </c>
    </row>
    <row r="39" spans="1:22" x14ac:dyDescent="0.25">
      <c r="A39" s="4">
        <v>36</v>
      </c>
      <c r="B39" s="3" t="s">
        <v>144</v>
      </c>
      <c r="C39" s="113">
        <v>4400.5000004760004</v>
      </c>
      <c r="D39" s="113">
        <v>-3068.0491980930001</v>
      </c>
      <c r="E39" s="7">
        <v>1470.1595427</v>
      </c>
      <c r="F39" s="7">
        <v>190.97151230200001</v>
      </c>
      <c r="G39" s="5">
        <v>2465.2751728160001</v>
      </c>
      <c r="H39" s="92">
        <v>0.12989849520091817</v>
      </c>
      <c r="I39" s="5">
        <v>135015.824846995</v>
      </c>
      <c r="J39" s="5">
        <v>3037.8226500750002</v>
      </c>
      <c r="K39" s="5">
        <v>0</v>
      </c>
      <c r="L39" s="5">
        <v>0</v>
      </c>
      <c r="M39" s="5">
        <v>0</v>
      </c>
      <c r="N39" s="92">
        <v>0.13721829550540371</v>
      </c>
      <c r="O39" s="5">
        <v>-416.84484609100002</v>
      </c>
      <c r="P39" s="5">
        <v>859.70827163599995</v>
      </c>
      <c r="Q39" s="5">
        <v>62.7363024</v>
      </c>
      <c r="R39" s="5">
        <v>-7.084565295</v>
      </c>
      <c r="S39" s="5">
        <v>0</v>
      </c>
      <c r="T39" s="113">
        <v>0</v>
      </c>
      <c r="U39" s="113">
        <v>0</v>
      </c>
      <c r="V39" s="5">
        <v>3531.05767457</v>
      </c>
    </row>
    <row r="40" spans="1:22" x14ac:dyDescent="0.25">
      <c r="A40" s="4">
        <v>37</v>
      </c>
      <c r="B40" s="3" t="s">
        <v>145</v>
      </c>
      <c r="C40" s="113">
        <v>4943.2900013999997</v>
      </c>
      <c r="D40" s="113">
        <v>-535.02166696899997</v>
      </c>
      <c r="E40" s="7">
        <v>4852.9830805000001</v>
      </c>
      <c r="F40" s="7">
        <v>697.37380405800002</v>
      </c>
      <c r="G40" s="5">
        <v>10635.956705838</v>
      </c>
      <c r="H40" s="92">
        <v>0.14370002789833547</v>
      </c>
      <c r="I40" s="5">
        <v>266586.76407628198</v>
      </c>
      <c r="J40" s="5">
        <v>0</v>
      </c>
      <c r="K40" s="5">
        <v>0</v>
      </c>
      <c r="L40" s="5">
        <v>0</v>
      </c>
      <c r="M40" s="5">
        <v>0</v>
      </c>
      <c r="N40" s="92">
        <v>0</v>
      </c>
      <c r="O40" s="5">
        <v>0</v>
      </c>
      <c r="P40" s="5">
        <v>-739.14066634000005</v>
      </c>
      <c r="Q40" s="5">
        <v>2346.2515361589999</v>
      </c>
      <c r="R40" s="5">
        <v>-35.759094652000002</v>
      </c>
      <c r="S40" s="5">
        <v>0</v>
      </c>
      <c r="T40" s="113">
        <v>0</v>
      </c>
      <c r="U40" s="113">
        <v>0</v>
      </c>
      <c r="V40" s="5">
        <v>1549.7864478690001</v>
      </c>
    </row>
    <row r="41" spans="1:22" x14ac:dyDescent="0.25">
      <c r="A41" s="3" t="s">
        <v>174</v>
      </c>
      <c r="C41" s="113">
        <v>0</v>
      </c>
      <c r="D41" s="113">
        <v>0</v>
      </c>
      <c r="E41" s="7">
        <v>0</v>
      </c>
      <c r="F41" s="7">
        <v>0</v>
      </c>
      <c r="G41" s="5">
        <v>0</v>
      </c>
      <c r="H41" s="92">
        <v>0</v>
      </c>
      <c r="I41" s="5">
        <v>0</v>
      </c>
      <c r="J41" s="5">
        <v>0</v>
      </c>
      <c r="K41" s="5">
        <v>0</v>
      </c>
      <c r="L41" s="5">
        <v>0</v>
      </c>
      <c r="M41" s="5">
        <v>0</v>
      </c>
      <c r="N41" s="92">
        <v>0</v>
      </c>
      <c r="O41" s="5">
        <v>0</v>
      </c>
      <c r="P41" s="5">
        <v>0</v>
      </c>
      <c r="Q41" s="5">
        <v>0</v>
      </c>
      <c r="R41" s="5">
        <v>0</v>
      </c>
      <c r="S41" s="5">
        <v>0</v>
      </c>
      <c r="T41" s="113">
        <v>0</v>
      </c>
      <c r="U41" s="113">
        <v>0</v>
      </c>
      <c r="V41" s="5">
        <v>0</v>
      </c>
    </row>
    <row r="42" spans="1:22" x14ac:dyDescent="0.25">
      <c r="A42" s="4">
        <v>38</v>
      </c>
      <c r="B42" s="3" t="s">
        <v>150</v>
      </c>
      <c r="C42" s="113">
        <v>0</v>
      </c>
      <c r="D42" s="113">
        <v>0</v>
      </c>
      <c r="E42" s="7">
        <v>0</v>
      </c>
      <c r="F42" s="7">
        <v>0</v>
      </c>
      <c r="G42" s="5">
        <v>0</v>
      </c>
      <c r="H42" s="92">
        <v>0</v>
      </c>
      <c r="I42" s="5">
        <v>0</v>
      </c>
      <c r="J42" s="5">
        <v>0</v>
      </c>
      <c r="K42" s="5">
        <v>0</v>
      </c>
      <c r="L42" s="5">
        <v>0</v>
      </c>
      <c r="M42" s="5">
        <v>0</v>
      </c>
      <c r="N42" s="92">
        <v>0</v>
      </c>
      <c r="O42" s="5">
        <v>0</v>
      </c>
      <c r="P42" s="5">
        <v>0</v>
      </c>
      <c r="Q42" s="5">
        <v>0</v>
      </c>
      <c r="R42" s="5">
        <v>0</v>
      </c>
      <c r="S42" s="5">
        <v>0</v>
      </c>
      <c r="T42" s="113">
        <v>0</v>
      </c>
      <c r="U42" s="113">
        <v>0</v>
      </c>
      <c r="V42" s="5">
        <v>0</v>
      </c>
    </row>
    <row r="43" spans="1:22" x14ac:dyDescent="0.25">
      <c r="A43" s="3" t="s">
        <v>175</v>
      </c>
      <c r="C43" s="113">
        <v>209190.12000016798</v>
      </c>
      <c r="D43" s="113">
        <v>-8390.2461944140014</v>
      </c>
      <c r="E43" s="7">
        <v>222286.18552200001</v>
      </c>
      <c r="F43" s="7">
        <v>23978.932247618002</v>
      </c>
      <c r="G43" s="5">
        <v>766863.63132245804</v>
      </c>
      <c r="H43" s="92">
        <v>0.10787414517599327</v>
      </c>
      <c r="I43" s="5">
        <v>10817110.905067651</v>
      </c>
      <c r="J43" s="5">
        <v>174970.37930634999</v>
      </c>
      <c r="K43" s="5">
        <v>0</v>
      </c>
      <c r="L43" s="5">
        <v>57.0396225</v>
      </c>
      <c r="M43" s="5">
        <v>966.54369999999994</v>
      </c>
      <c r="N43" s="92">
        <v>9.2083634337229173E-2</v>
      </c>
      <c r="O43" s="5">
        <v>-16206.163700274999</v>
      </c>
      <c r="P43" s="5">
        <v>-38360.091961175</v>
      </c>
      <c r="Q43" s="5">
        <v>13512.131985566</v>
      </c>
      <c r="R43" s="5">
        <v>-418.92311583000003</v>
      </c>
      <c r="S43" s="5">
        <v>0</v>
      </c>
      <c r="T43" s="113">
        <v>0</v>
      </c>
      <c r="U43" s="113">
        <v>68181.233539868001</v>
      </c>
      <c r="V43" s="5">
        <v>202669.57429750002</v>
      </c>
    </row>
    <row r="44" spans="1:22" x14ac:dyDescent="0.25">
      <c r="A44" s="4">
        <v>39</v>
      </c>
      <c r="B44" s="3" t="s">
        <v>167</v>
      </c>
      <c r="C44" s="113">
        <v>124136.150000172</v>
      </c>
      <c r="D44" s="113">
        <v>-7294.1604526170004</v>
      </c>
      <c r="E44" s="7">
        <v>131498.70652199999</v>
      </c>
      <c r="F44" s="7">
        <v>16685.735004858001</v>
      </c>
      <c r="G44" s="5">
        <v>514405.13297138701</v>
      </c>
      <c r="H44" s="92">
        <v>0.12688896679045619</v>
      </c>
      <c r="I44" s="5">
        <v>6719986.5491192602</v>
      </c>
      <c r="J44" s="5">
        <v>21926.976264925001</v>
      </c>
      <c r="K44" s="5">
        <v>0</v>
      </c>
      <c r="L44" s="5">
        <v>57.0396225</v>
      </c>
      <c r="M44" s="5">
        <v>966.54369999999994</v>
      </c>
      <c r="N44" s="92">
        <v>0.21227088902334679</v>
      </c>
      <c r="O44" s="5">
        <v>-4871.735687206</v>
      </c>
      <c r="P44" s="5">
        <v>-27930.436251719999</v>
      </c>
      <c r="Q44" s="5">
        <v>3220.4166010489998</v>
      </c>
      <c r="R44" s="5">
        <v>-384.240514937</v>
      </c>
      <c r="S44" s="5">
        <v>0</v>
      </c>
      <c r="T44" s="113">
        <v>0</v>
      </c>
      <c r="U44" s="113">
        <v>36076.619307451001</v>
      </c>
      <c r="V44" s="5">
        <v>29031.067652572001</v>
      </c>
    </row>
    <row r="45" spans="1:22" x14ac:dyDescent="0.25">
      <c r="A45" s="4">
        <v>40</v>
      </c>
      <c r="B45" s="3" t="s">
        <v>168</v>
      </c>
      <c r="C45" s="113">
        <v>85053.969999995999</v>
      </c>
      <c r="D45" s="113">
        <v>-1096.0857417970001</v>
      </c>
      <c r="E45" s="7">
        <v>90787.479000000007</v>
      </c>
      <c r="F45" s="7">
        <v>7293.1972427600003</v>
      </c>
      <c r="G45" s="5">
        <v>252458.498351071</v>
      </c>
      <c r="H45" s="92">
        <v>8.0332633124001601E-2</v>
      </c>
      <c r="I45" s="5">
        <v>4097124.35594839</v>
      </c>
      <c r="J45" s="5">
        <v>153043.40304142499</v>
      </c>
      <c r="K45" s="5">
        <v>0</v>
      </c>
      <c r="L45" s="5">
        <v>0</v>
      </c>
      <c r="M45" s="5">
        <v>0</v>
      </c>
      <c r="N45" s="92">
        <v>7.4060219439847766E-2</v>
      </c>
      <c r="O45" s="5">
        <v>-11334.428013069</v>
      </c>
      <c r="P45" s="5">
        <v>-10429.655709455001</v>
      </c>
      <c r="Q45" s="5">
        <v>10291.715384517</v>
      </c>
      <c r="R45" s="5">
        <v>-34.682600893</v>
      </c>
      <c r="S45" s="5">
        <v>0</v>
      </c>
      <c r="T45" s="113">
        <v>0</v>
      </c>
      <c r="U45" s="113">
        <v>32104.614232417</v>
      </c>
      <c r="V45" s="5">
        <v>173638.50664492801</v>
      </c>
    </row>
    <row r="46" spans="1:22" x14ac:dyDescent="0.25">
      <c r="A46" s="3" t="s">
        <v>209</v>
      </c>
      <c r="C46" s="113">
        <v>205920.14000028002</v>
      </c>
      <c r="D46" s="113">
        <v>-6584.6681256259999</v>
      </c>
      <c r="E46" s="7">
        <v>201752.878052404</v>
      </c>
      <c r="F46" s="7">
        <v>14841.101877837002</v>
      </c>
      <c r="G46" s="5">
        <v>652777.46742930298</v>
      </c>
      <c r="H46" s="92">
        <v>7.3560793883605077E-2</v>
      </c>
      <c r="I46" s="5">
        <v>7823415.5759856198</v>
      </c>
      <c r="J46" s="5">
        <v>0</v>
      </c>
      <c r="K46" s="5">
        <v>0</v>
      </c>
      <c r="L46" s="5">
        <v>0</v>
      </c>
      <c r="M46" s="5">
        <v>0</v>
      </c>
      <c r="N46" s="92">
        <v>0</v>
      </c>
      <c r="O46" s="5">
        <v>0</v>
      </c>
      <c r="P46" s="5">
        <v>-10.841020544999992</v>
      </c>
      <c r="Q46" s="5">
        <v>0</v>
      </c>
      <c r="R46" s="5">
        <v>-1040.485615523</v>
      </c>
      <c r="S46" s="5">
        <v>0</v>
      </c>
      <c r="T46" s="113">
        <v>0</v>
      </c>
      <c r="U46" s="113">
        <v>0</v>
      </c>
      <c r="V46" s="5">
        <v>-2321.1710713329999</v>
      </c>
    </row>
    <row r="47" spans="1:22" x14ac:dyDescent="0.25">
      <c r="A47" s="4">
        <v>41</v>
      </c>
      <c r="B47" s="3" t="s">
        <v>214</v>
      </c>
      <c r="C47" s="113">
        <v>23676.800000015999</v>
      </c>
      <c r="D47" s="113">
        <v>3421.1929519360001</v>
      </c>
      <c r="E47" s="7">
        <v>28735.812000000002</v>
      </c>
      <c r="F47" s="7">
        <v>2672.5233423519999</v>
      </c>
      <c r="G47" s="5">
        <v>30269.896094426</v>
      </c>
      <c r="H47" s="92">
        <v>9.3003230336835441E-2</v>
      </c>
      <c r="I47" s="5">
        <v>1173359.6960351099</v>
      </c>
      <c r="J47" s="5">
        <v>0</v>
      </c>
      <c r="K47" s="5">
        <v>0</v>
      </c>
      <c r="L47" s="5">
        <v>0</v>
      </c>
      <c r="M47" s="5">
        <v>0</v>
      </c>
      <c r="N47" s="92">
        <v>0</v>
      </c>
      <c r="O47" s="5">
        <v>0</v>
      </c>
      <c r="P47" s="5">
        <v>-394.90003190900001</v>
      </c>
      <c r="Q47" s="5">
        <v>0</v>
      </c>
      <c r="R47" s="5">
        <v>-74.654616422999993</v>
      </c>
      <c r="S47" s="5">
        <v>0</v>
      </c>
      <c r="T47" s="113">
        <v>0</v>
      </c>
      <c r="U47" s="113">
        <v>0</v>
      </c>
      <c r="V47" s="5">
        <v>-635.47872694499995</v>
      </c>
    </row>
    <row r="48" spans="1:22" x14ac:dyDescent="0.25">
      <c r="A48" s="4">
        <v>42</v>
      </c>
      <c r="B48" s="3" t="s">
        <v>216</v>
      </c>
      <c r="C48" s="113">
        <v>161058.93999874801</v>
      </c>
      <c r="D48" s="113">
        <v>-10090.632263187001</v>
      </c>
      <c r="E48" s="7">
        <v>150364.98755379999</v>
      </c>
      <c r="F48" s="7">
        <v>9695.8570224790001</v>
      </c>
      <c r="G48" s="5">
        <v>566385.82741427503</v>
      </c>
      <c r="H48" s="92">
        <v>6.4482145612587249E-2</v>
      </c>
      <c r="I48" s="5">
        <v>5801009.9553068997</v>
      </c>
      <c r="J48" s="5">
        <v>0</v>
      </c>
      <c r="K48" s="5">
        <v>0</v>
      </c>
      <c r="L48" s="5">
        <v>0</v>
      </c>
      <c r="M48" s="5">
        <v>0</v>
      </c>
      <c r="N48" s="92">
        <v>0</v>
      </c>
      <c r="O48" s="5">
        <v>0</v>
      </c>
      <c r="P48" s="5">
        <v>470.47658123600002</v>
      </c>
      <c r="Q48" s="5">
        <v>0</v>
      </c>
      <c r="R48" s="5">
        <v>-983.42503132800005</v>
      </c>
      <c r="S48" s="5">
        <v>0</v>
      </c>
      <c r="T48" s="113">
        <v>0</v>
      </c>
      <c r="U48" s="113">
        <v>0</v>
      </c>
      <c r="V48" s="5">
        <v>-1397.4291064930001</v>
      </c>
    </row>
    <row r="49" spans="1:22" x14ac:dyDescent="0.25">
      <c r="A49" s="4">
        <v>43</v>
      </c>
      <c r="B49" s="3" t="s">
        <v>217</v>
      </c>
      <c r="C49" s="113">
        <v>19110.399999996</v>
      </c>
      <c r="D49" s="113">
        <v>-15.835102671</v>
      </c>
      <c r="E49" s="7">
        <v>19048.615499832002</v>
      </c>
      <c r="F49" s="7">
        <v>757.96123807100003</v>
      </c>
      <c r="G49" s="5">
        <v>-640.58465585900001</v>
      </c>
      <c r="H49" s="92">
        <v>3.9790883388752578E-2</v>
      </c>
      <c r="I49" s="5">
        <v>712051.48651977</v>
      </c>
      <c r="J49" s="5">
        <v>0</v>
      </c>
      <c r="K49" s="5">
        <v>0</v>
      </c>
      <c r="L49" s="5">
        <v>0</v>
      </c>
      <c r="M49" s="5">
        <v>0</v>
      </c>
      <c r="N49" s="92">
        <v>0</v>
      </c>
      <c r="O49" s="5">
        <v>0</v>
      </c>
      <c r="P49" s="5">
        <v>-80.282972489000002</v>
      </c>
      <c r="Q49" s="5">
        <v>0</v>
      </c>
      <c r="R49" s="5">
        <v>60.308891039000002</v>
      </c>
      <c r="S49" s="5">
        <v>0</v>
      </c>
      <c r="T49" s="113">
        <v>0</v>
      </c>
      <c r="U49" s="113">
        <v>0</v>
      </c>
      <c r="V49" s="5">
        <v>-225.543006983</v>
      </c>
    </row>
    <row r="50" spans="1:22" x14ac:dyDescent="0.25">
      <c r="A50" s="4">
        <v>44</v>
      </c>
      <c r="B50" s="3" t="s">
        <v>215</v>
      </c>
      <c r="C50" s="113">
        <v>2074.0000015199998</v>
      </c>
      <c r="D50" s="113">
        <v>100.606288296</v>
      </c>
      <c r="E50" s="7">
        <v>3603.462998772</v>
      </c>
      <c r="F50" s="7">
        <v>1714.7602749350001</v>
      </c>
      <c r="G50" s="5">
        <v>56762.328576460997</v>
      </c>
      <c r="H50" s="92">
        <v>0.47586454350144897</v>
      </c>
      <c r="I50" s="5">
        <v>136994.43812383999</v>
      </c>
      <c r="J50" s="5">
        <v>0</v>
      </c>
      <c r="K50" s="5">
        <v>0</v>
      </c>
      <c r="L50" s="5">
        <v>0</v>
      </c>
      <c r="M50" s="5">
        <v>0</v>
      </c>
      <c r="N50" s="92">
        <v>0</v>
      </c>
      <c r="O50" s="5">
        <v>0</v>
      </c>
      <c r="P50" s="5">
        <v>-6.134597383</v>
      </c>
      <c r="Q50" s="5">
        <v>0</v>
      </c>
      <c r="R50" s="5">
        <v>-42.714858810999999</v>
      </c>
      <c r="S50" s="5">
        <v>0</v>
      </c>
      <c r="T50" s="113">
        <v>0</v>
      </c>
      <c r="U50" s="113">
        <v>0</v>
      </c>
      <c r="V50" s="5">
        <v>-62.720230911999998</v>
      </c>
    </row>
    <row r="51" spans="1:22" x14ac:dyDescent="0.25">
      <c r="A51" s="3" t="s">
        <v>8</v>
      </c>
      <c r="C51" s="113">
        <v>778852.79000882397</v>
      </c>
      <c r="D51" s="113">
        <v>-78378.01790774602</v>
      </c>
      <c r="E51" s="7">
        <v>733949.87454790412</v>
      </c>
      <c r="F51" s="7">
        <v>55094.356077587996</v>
      </c>
      <c r="G51" s="5">
        <v>1885001.1109955749</v>
      </c>
      <c r="H51" s="92">
        <v>7.5065556910851469E-2</v>
      </c>
      <c r="I51" s="5">
        <v>35004475.469993629</v>
      </c>
      <c r="J51" s="5">
        <v>601442.50939294999</v>
      </c>
      <c r="K51" s="5">
        <v>516912.07464367501</v>
      </c>
      <c r="L51" s="5">
        <v>12276.0856028</v>
      </c>
      <c r="M51" s="5">
        <v>1652.7679045999998</v>
      </c>
      <c r="N51" s="92">
        <v>5.3097267361225005E-2</v>
      </c>
      <c r="O51" s="5">
        <v>-60121.156411962002</v>
      </c>
      <c r="P51" s="5">
        <v>-68945.940177336</v>
      </c>
      <c r="Q51" s="5">
        <v>39848.46193949999</v>
      </c>
      <c r="R51" s="5">
        <v>-2226.6544411619998</v>
      </c>
      <c r="S51" s="5">
        <v>0</v>
      </c>
      <c r="T51" s="113">
        <v>0</v>
      </c>
      <c r="U51" s="113">
        <v>123259.75658798599</v>
      </c>
      <c r="V51" s="5">
        <v>1162370.8479223331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89"/>
  <sheetViews>
    <sheetView workbookViewId="0">
      <selection activeCell="L54" sqref="L54"/>
    </sheetView>
  </sheetViews>
  <sheetFormatPr defaultRowHeight="15" x14ac:dyDescent="0.25"/>
  <cols>
    <col min="1" max="1" width="20" customWidth="1"/>
    <col min="5" max="5" width="24.5703125" bestFit="1" customWidth="1"/>
    <col min="6" max="6" width="26.28515625" bestFit="1" customWidth="1"/>
    <col min="7" max="7" width="21.5703125" bestFit="1" customWidth="1"/>
  </cols>
  <sheetData>
    <row r="1" spans="1:32" s="6" customFormat="1" x14ac:dyDescent="0.25">
      <c r="A1" s="1" t="s">
        <v>0</v>
      </c>
      <c r="B1" s="1" t="s">
        <v>1</v>
      </c>
      <c r="C1" s="1" t="s">
        <v>3</v>
      </c>
      <c r="D1" s="1" t="s">
        <v>2</v>
      </c>
      <c r="E1" s="1" t="s">
        <v>9</v>
      </c>
      <c r="F1" s="1" t="s">
        <v>10</v>
      </c>
      <c r="G1" s="1" t="s">
        <v>240</v>
      </c>
      <c r="H1" s="1" t="s">
        <v>241</v>
      </c>
      <c r="I1" s="1" t="s">
        <v>11</v>
      </c>
      <c r="J1" s="1" t="s">
        <v>12</v>
      </c>
      <c r="K1" s="1" t="s">
        <v>13</v>
      </c>
      <c r="L1" s="1" t="s">
        <v>79</v>
      </c>
      <c r="M1" s="1" t="s">
        <v>80</v>
      </c>
      <c r="N1" s="1" t="s">
        <v>81</v>
      </c>
      <c r="O1" s="1" t="s">
        <v>82</v>
      </c>
      <c r="P1" s="1" t="s">
        <v>185</v>
      </c>
      <c r="Q1" s="1" t="s">
        <v>87</v>
      </c>
      <c r="R1" s="1" t="s">
        <v>88</v>
      </c>
      <c r="S1" s="1" t="s">
        <v>192</v>
      </c>
      <c r="T1" s="1" t="s">
        <v>89</v>
      </c>
      <c r="U1" s="1" t="s">
        <v>193</v>
      </c>
      <c r="V1" s="1" t="s">
        <v>69</v>
      </c>
      <c r="W1" s="1"/>
      <c r="X1" s="1"/>
      <c r="Y1" s="1"/>
      <c r="Z1" s="1"/>
      <c r="AA1" s="1"/>
      <c r="AB1" s="1"/>
      <c r="AC1" s="1"/>
      <c r="AD1" s="1"/>
      <c r="AE1" s="1"/>
      <c r="AF1" s="1"/>
    </row>
    <row r="2" spans="1:32" s="6" customFormat="1" x14ac:dyDescent="0.25">
      <c r="A2" s="6" t="s">
        <v>173</v>
      </c>
      <c r="B2" s="6" t="s">
        <v>165</v>
      </c>
      <c r="C2" s="39" t="s">
        <v>4</v>
      </c>
      <c r="D2" s="39">
        <v>1</v>
      </c>
      <c r="E2" s="8">
        <v>0</v>
      </c>
      <c r="F2" s="8">
        <v>0</v>
      </c>
      <c r="G2" s="8">
        <v>0</v>
      </c>
      <c r="H2" s="8">
        <v>0</v>
      </c>
      <c r="I2" s="8">
        <v>0</v>
      </c>
      <c r="J2" s="8">
        <v>0</v>
      </c>
      <c r="K2" s="8">
        <v>0</v>
      </c>
      <c r="L2" s="8">
        <v>0</v>
      </c>
      <c r="M2" s="8">
        <v>0</v>
      </c>
      <c r="N2" s="8">
        <v>0</v>
      </c>
      <c r="O2" s="8">
        <v>0</v>
      </c>
      <c r="P2" s="8">
        <v>0</v>
      </c>
      <c r="Q2" s="8">
        <v>0</v>
      </c>
      <c r="R2" s="8">
        <v>0</v>
      </c>
      <c r="S2" s="8">
        <v>0</v>
      </c>
      <c r="T2" s="8">
        <v>0</v>
      </c>
      <c r="U2" s="8">
        <v>0</v>
      </c>
      <c r="V2" s="8">
        <v>0</v>
      </c>
      <c r="W2" s="8"/>
      <c r="X2" s="8"/>
      <c r="Y2" s="8"/>
      <c r="Z2" s="8"/>
      <c r="AA2" s="8"/>
      <c r="AB2" s="8"/>
      <c r="AC2" s="8"/>
      <c r="AD2" s="8"/>
      <c r="AE2" s="8"/>
      <c r="AF2" s="8"/>
    </row>
    <row r="3" spans="1:32" s="6" customFormat="1" x14ac:dyDescent="0.25">
      <c r="A3" s="6" t="s">
        <v>173</v>
      </c>
      <c r="B3" s="6" t="s">
        <v>146</v>
      </c>
      <c r="C3" s="39" t="s">
        <v>4</v>
      </c>
      <c r="D3" s="39">
        <v>2</v>
      </c>
      <c r="E3" s="8">
        <v>0</v>
      </c>
      <c r="F3" s="8">
        <v>0</v>
      </c>
      <c r="G3" s="8">
        <v>0</v>
      </c>
      <c r="H3" s="8">
        <v>0</v>
      </c>
      <c r="I3" s="8">
        <v>0</v>
      </c>
      <c r="J3" s="8">
        <v>0</v>
      </c>
      <c r="K3" s="8">
        <v>0</v>
      </c>
      <c r="L3" s="8">
        <v>0</v>
      </c>
      <c r="M3" s="8">
        <v>0</v>
      </c>
      <c r="N3" s="8">
        <v>0</v>
      </c>
      <c r="O3" s="8">
        <v>0</v>
      </c>
      <c r="P3" s="8">
        <v>0</v>
      </c>
      <c r="Q3" s="8">
        <v>0</v>
      </c>
      <c r="R3" s="8">
        <v>0</v>
      </c>
      <c r="S3" s="8">
        <v>0</v>
      </c>
      <c r="T3" s="8">
        <v>0</v>
      </c>
      <c r="U3" s="8">
        <v>0</v>
      </c>
      <c r="V3" s="8">
        <v>0</v>
      </c>
      <c r="W3" s="8"/>
      <c r="X3" s="8"/>
      <c r="Y3" s="8"/>
      <c r="Z3" s="8"/>
      <c r="AA3" s="8"/>
      <c r="AB3" s="8"/>
      <c r="AC3" s="8"/>
      <c r="AD3" s="8"/>
      <c r="AE3" s="8"/>
      <c r="AF3" s="8"/>
    </row>
    <row r="4" spans="1:32" s="6" customFormat="1" x14ac:dyDescent="0.25">
      <c r="A4" s="6" t="s">
        <v>173</v>
      </c>
      <c r="B4" s="6" t="s">
        <v>147</v>
      </c>
      <c r="C4" s="39" t="s">
        <v>4</v>
      </c>
      <c r="D4" s="39">
        <v>3</v>
      </c>
      <c r="E4" s="8">
        <v>0</v>
      </c>
      <c r="F4" s="8">
        <v>0</v>
      </c>
      <c r="G4" s="8">
        <v>0</v>
      </c>
      <c r="H4" s="8">
        <v>0</v>
      </c>
      <c r="I4" s="8">
        <v>0</v>
      </c>
      <c r="J4" s="8">
        <v>0</v>
      </c>
      <c r="K4" s="8">
        <v>0</v>
      </c>
      <c r="L4" s="8">
        <v>0</v>
      </c>
      <c r="M4" s="8">
        <v>0</v>
      </c>
      <c r="N4" s="8">
        <v>0</v>
      </c>
      <c r="O4" s="8">
        <v>0</v>
      </c>
      <c r="P4" s="8">
        <v>0</v>
      </c>
      <c r="Q4" s="8">
        <v>0</v>
      </c>
      <c r="R4" s="8">
        <v>0</v>
      </c>
      <c r="S4" s="8">
        <v>0</v>
      </c>
      <c r="T4" s="8">
        <v>0</v>
      </c>
      <c r="U4" s="8">
        <v>0</v>
      </c>
      <c r="V4" s="8">
        <v>0</v>
      </c>
      <c r="W4" s="8"/>
      <c r="X4" s="8"/>
      <c r="Y4" s="8"/>
      <c r="Z4" s="8"/>
      <c r="AA4" s="8"/>
      <c r="AB4" s="8"/>
      <c r="AC4" s="8"/>
      <c r="AD4" s="8"/>
      <c r="AE4" s="8"/>
      <c r="AF4" s="8"/>
    </row>
    <row r="5" spans="1:32" s="6" customFormat="1" x14ac:dyDescent="0.25">
      <c r="A5" s="6" t="s">
        <v>173</v>
      </c>
      <c r="B5" s="6" t="s">
        <v>148</v>
      </c>
      <c r="C5" s="39" t="s">
        <v>4</v>
      </c>
      <c r="D5" s="39">
        <v>4</v>
      </c>
      <c r="E5" s="8">
        <v>0</v>
      </c>
      <c r="F5" s="8">
        <v>0</v>
      </c>
      <c r="G5" s="8">
        <v>0</v>
      </c>
      <c r="H5" s="8">
        <v>0</v>
      </c>
      <c r="I5" s="8">
        <v>0</v>
      </c>
      <c r="J5" s="8">
        <v>0</v>
      </c>
      <c r="K5" s="8">
        <v>0</v>
      </c>
      <c r="L5" s="8">
        <v>0</v>
      </c>
      <c r="M5" s="8">
        <v>0</v>
      </c>
      <c r="N5" s="8">
        <v>0</v>
      </c>
      <c r="O5" s="8">
        <v>0</v>
      </c>
      <c r="P5" s="8">
        <v>0</v>
      </c>
      <c r="Q5" s="8">
        <v>0</v>
      </c>
      <c r="R5" s="8">
        <v>0</v>
      </c>
      <c r="S5" s="8">
        <v>0</v>
      </c>
      <c r="T5" s="8">
        <v>0</v>
      </c>
      <c r="U5" s="8">
        <v>0</v>
      </c>
      <c r="V5" s="8">
        <v>0</v>
      </c>
      <c r="W5" s="8"/>
      <c r="X5" s="8"/>
      <c r="Y5" s="8"/>
      <c r="Z5" s="8"/>
      <c r="AA5" s="8"/>
      <c r="AB5" s="8"/>
      <c r="AC5" s="8"/>
      <c r="AD5" s="8"/>
      <c r="AE5" s="8"/>
      <c r="AF5" s="8"/>
    </row>
    <row r="6" spans="1:32" s="6" customFormat="1" x14ac:dyDescent="0.25">
      <c r="A6" s="6" t="s">
        <v>173</v>
      </c>
      <c r="B6" s="6" t="s">
        <v>149</v>
      </c>
      <c r="C6" s="39" t="s">
        <v>4</v>
      </c>
      <c r="D6" s="39">
        <v>5</v>
      </c>
      <c r="E6" s="8">
        <v>0</v>
      </c>
      <c r="F6" s="8">
        <v>0</v>
      </c>
      <c r="G6" s="8">
        <v>0</v>
      </c>
      <c r="H6" s="8">
        <v>0</v>
      </c>
      <c r="I6" s="8">
        <v>0</v>
      </c>
      <c r="J6" s="8">
        <v>0</v>
      </c>
      <c r="K6" s="8">
        <v>0</v>
      </c>
      <c r="L6" s="8">
        <v>0</v>
      </c>
      <c r="M6" s="8">
        <v>0</v>
      </c>
      <c r="N6" s="8">
        <v>0</v>
      </c>
      <c r="O6" s="8">
        <v>0</v>
      </c>
      <c r="P6" s="8">
        <v>0</v>
      </c>
      <c r="Q6" s="8">
        <v>0</v>
      </c>
      <c r="R6" s="8">
        <v>0</v>
      </c>
      <c r="S6" s="8">
        <v>0</v>
      </c>
      <c r="T6" s="8">
        <v>0</v>
      </c>
      <c r="U6" s="8">
        <v>0</v>
      </c>
      <c r="V6" s="8">
        <v>0</v>
      </c>
      <c r="W6" s="8"/>
      <c r="X6" s="8"/>
      <c r="Y6" s="8"/>
      <c r="Z6" s="8"/>
      <c r="AA6" s="8"/>
      <c r="AB6" s="8"/>
      <c r="AC6" s="8"/>
      <c r="AD6" s="8"/>
      <c r="AE6" s="8"/>
      <c r="AF6" s="8"/>
    </row>
    <row r="7" spans="1:32" s="6" customFormat="1" x14ac:dyDescent="0.25">
      <c r="A7" s="6" t="s">
        <v>173</v>
      </c>
      <c r="B7" s="6" t="s">
        <v>166</v>
      </c>
      <c r="C7" s="39" t="s">
        <v>4</v>
      </c>
      <c r="D7" s="39">
        <v>6</v>
      </c>
      <c r="E7" s="8">
        <v>0</v>
      </c>
      <c r="F7" s="8">
        <v>0</v>
      </c>
      <c r="G7" s="8">
        <v>0</v>
      </c>
      <c r="H7" s="8">
        <v>0</v>
      </c>
      <c r="I7" s="8">
        <v>0</v>
      </c>
      <c r="J7" s="8">
        <v>0</v>
      </c>
      <c r="K7" s="8">
        <v>0</v>
      </c>
      <c r="L7" s="8">
        <v>0</v>
      </c>
      <c r="M7" s="8">
        <v>0</v>
      </c>
      <c r="N7" s="8">
        <v>0</v>
      </c>
      <c r="O7" s="8">
        <v>0</v>
      </c>
      <c r="P7" s="8">
        <v>0</v>
      </c>
      <c r="Q7" s="8">
        <v>0</v>
      </c>
      <c r="R7" s="8">
        <v>0</v>
      </c>
      <c r="S7" s="8">
        <v>0</v>
      </c>
      <c r="T7" s="8">
        <v>0</v>
      </c>
      <c r="U7" s="8">
        <v>0</v>
      </c>
      <c r="V7" s="8">
        <v>0</v>
      </c>
      <c r="W7" s="8"/>
      <c r="X7" s="8"/>
      <c r="Y7" s="8"/>
      <c r="Z7" s="8"/>
      <c r="AA7" s="8"/>
      <c r="AB7" s="8"/>
      <c r="AC7" s="8"/>
      <c r="AD7" s="8"/>
      <c r="AE7" s="8"/>
      <c r="AF7" s="8"/>
    </row>
    <row r="8" spans="1:32" s="6" customFormat="1" x14ac:dyDescent="0.25">
      <c r="A8" s="6" t="s">
        <v>173</v>
      </c>
      <c r="B8" s="6" t="s">
        <v>163</v>
      </c>
      <c r="C8" s="39" t="s">
        <v>4</v>
      </c>
      <c r="D8" s="39">
        <v>7</v>
      </c>
      <c r="E8" s="8">
        <v>0</v>
      </c>
      <c r="F8" s="8">
        <v>0</v>
      </c>
      <c r="G8" s="8">
        <v>0</v>
      </c>
      <c r="H8" s="8">
        <v>0</v>
      </c>
      <c r="I8" s="8">
        <v>0</v>
      </c>
      <c r="J8" s="8">
        <v>0</v>
      </c>
      <c r="K8" s="8">
        <v>0</v>
      </c>
      <c r="L8" s="8">
        <v>0</v>
      </c>
      <c r="M8" s="8">
        <v>0</v>
      </c>
      <c r="N8" s="8">
        <v>0</v>
      </c>
      <c r="O8" s="8">
        <v>0</v>
      </c>
      <c r="P8" s="8">
        <v>0</v>
      </c>
      <c r="Q8" s="8">
        <v>0</v>
      </c>
      <c r="R8" s="8">
        <v>0</v>
      </c>
      <c r="S8" s="8">
        <v>0</v>
      </c>
      <c r="T8" s="8">
        <v>0</v>
      </c>
      <c r="U8" s="8">
        <v>0</v>
      </c>
      <c r="V8" s="8">
        <v>0</v>
      </c>
      <c r="W8" s="8"/>
      <c r="X8" s="8"/>
      <c r="Y8" s="8"/>
      <c r="Z8" s="8"/>
      <c r="AA8" s="8"/>
      <c r="AB8" s="8"/>
      <c r="AC8" s="8"/>
      <c r="AD8" s="8"/>
      <c r="AE8" s="8"/>
      <c r="AF8" s="8"/>
    </row>
    <row r="9" spans="1:32" s="6" customFormat="1" x14ac:dyDescent="0.25">
      <c r="A9" s="6" t="s">
        <v>173</v>
      </c>
      <c r="B9" s="6" t="s">
        <v>134</v>
      </c>
      <c r="C9" s="39" t="s">
        <v>4</v>
      </c>
      <c r="D9" s="39">
        <v>8</v>
      </c>
      <c r="E9" s="8">
        <v>0</v>
      </c>
      <c r="F9" s="8">
        <v>0</v>
      </c>
      <c r="G9" s="8">
        <v>0</v>
      </c>
      <c r="H9" s="8">
        <v>0</v>
      </c>
      <c r="I9" s="8">
        <v>0</v>
      </c>
      <c r="J9" s="8">
        <v>0</v>
      </c>
      <c r="K9" s="8">
        <v>0</v>
      </c>
      <c r="L9" s="8">
        <v>0</v>
      </c>
      <c r="M9" s="8">
        <v>0</v>
      </c>
      <c r="N9" s="8">
        <v>0</v>
      </c>
      <c r="O9" s="8">
        <v>0</v>
      </c>
      <c r="P9" s="8">
        <v>0</v>
      </c>
      <c r="Q9" s="8">
        <v>0</v>
      </c>
      <c r="R9" s="8">
        <v>0</v>
      </c>
      <c r="S9" s="8">
        <v>0</v>
      </c>
      <c r="T9" s="8">
        <v>0</v>
      </c>
      <c r="U9" s="8">
        <v>0</v>
      </c>
      <c r="V9" s="8">
        <v>0</v>
      </c>
      <c r="W9" s="8"/>
      <c r="X9" s="8"/>
      <c r="Y9" s="8"/>
      <c r="Z9" s="8"/>
      <c r="AA9" s="8"/>
      <c r="AB9" s="8"/>
      <c r="AC9" s="8"/>
      <c r="AD9" s="8"/>
      <c r="AE9" s="8"/>
      <c r="AF9" s="8"/>
    </row>
    <row r="10" spans="1:32" s="6" customFormat="1" x14ac:dyDescent="0.25">
      <c r="A10" s="6" t="s">
        <v>173</v>
      </c>
      <c r="B10" s="6" t="s">
        <v>133</v>
      </c>
      <c r="C10" s="39" t="s">
        <v>4</v>
      </c>
      <c r="D10" s="39">
        <v>9</v>
      </c>
      <c r="E10" s="8">
        <v>0</v>
      </c>
      <c r="F10" s="8">
        <v>0</v>
      </c>
      <c r="G10" s="8">
        <v>0</v>
      </c>
      <c r="H10" s="8">
        <v>0</v>
      </c>
      <c r="I10" s="8">
        <v>0</v>
      </c>
      <c r="J10" s="8">
        <v>0</v>
      </c>
      <c r="K10" s="8">
        <v>0</v>
      </c>
      <c r="L10" s="8">
        <v>0</v>
      </c>
      <c r="M10" s="8">
        <v>0</v>
      </c>
      <c r="N10" s="8">
        <v>0</v>
      </c>
      <c r="O10" s="8">
        <v>0</v>
      </c>
      <c r="P10" s="8">
        <v>0</v>
      </c>
      <c r="Q10" s="8">
        <v>0</v>
      </c>
      <c r="R10" s="8">
        <v>0</v>
      </c>
      <c r="S10" s="8">
        <v>0</v>
      </c>
      <c r="T10" s="8">
        <v>0</v>
      </c>
      <c r="U10" s="8">
        <v>0</v>
      </c>
      <c r="V10" s="8">
        <v>0</v>
      </c>
      <c r="W10" s="8"/>
      <c r="X10" s="8"/>
      <c r="Y10" s="8"/>
      <c r="Z10" s="8"/>
      <c r="AA10" s="8"/>
      <c r="AB10" s="8"/>
      <c r="AC10" s="8"/>
      <c r="AD10" s="8"/>
      <c r="AE10" s="8"/>
      <c r="AF10" s="8"/>
    </row>
    <row r="11" spans="1:32" s="6" customFormat="1" x14ac:dyDescent="0.25">
      <c r="A11" s="6" t="s">
        <v>173</v>
      </c>
      <c r="B11" s="6" t="s">
        <v>151</v>
      </c>
      <c r="C11" s="39" t="s">
        <v>4</v>
      </c>
      <c r="D11" s="39">
        <v>10</v>
      </c>
      <c r="E11" s="8">
        <v>0</v>
      </c>
      <c r="F11" s="8">
        <v>0</v>
      </c>
      <c r="G11" s="8">
        <v>0</v>
      </c>
      <c r="H11" s="8">
        <v>0</v>
      </c>
      <c r="I11" s="8">
        <v>0</v>
      </c>
      <c r="J11" s="8">
        <v>0</v>
      </c>
      <c r="K11" s="8">
        <v>0</v>
      </c>
      <c r="L11" s="8">
        <v>0</v>
      </c>
      <c r="M11" s="8">
        <v>0</v>
      </c>
      <c r="N11" s="8">
        <v>0</v>
      </c>
      <c r="O11" s="8">
        <v>0</v>
      </c>
      <c r="P11" s="8">
        <v>0</v>
      </c>
      <c r="Q11" s="8">
        <v>0</v>
      </c>
      <c r="R11" s="8">
        <v>0</v>
      </c>
      <c r="S11" s="8">
        <v>0</v>
      </c>
      <c r="T11" s="8">
        <v>0</v>
      </c>
      <c r="U11" s="8">
        <v>0</v>
      </c>
      <c r="V11" s="8">
        <v>0</v>
      </c>
      <c r="W11" s="8"/>
      <c r="X11" s="8"/>
      <c r="Y11" s="8"/>
      <c r="Z11" s="8"/>
      <c r="AA11" s="8"/>
      <c r="AB11" s="8"/>
      <c r="AC11" s="8"/>
      <c r="AD11" s="8"/>
      <c r="AE11" s="8"/>
      <c r="AF11" s="8"/>
    </row>
    <row r="12" spans="1:32" s="6" customFormat="1" x14ac:dyDescent="0.25">
      <c r="A12" s="6" t="s">
        <v>173</v>
      </c>
      <c r="B12" s="6" t="s">
        <v>152</v>
      </c>
      <c r="C12" s="39" t="s">
        <v>4</v>
      </c>
      <c r="D12" s="39">
        <v>11</v>
      </c>
      <c r="E12" s="8">
        <v>0</v>
      </c>
      <c r="F12" s="8">
        <v>0</v>
      </c>
      <c r="G12" s="8">
        <v>0</v>
      </c>
      <c r="H12" s="8">
        <v>0</v>
      </c>
      <c r="I12" s="8">
        <v>0</v>
      </c>
      <c r="J12" s="8">
        <v>0</v>
      </c>
      <c r="K12" s="8">
        <v>0</v>
      </c>
      <c r="L12" s="8">
        <v>0</v>
      </c>
      <c r="M12" s="8">
        <v>0</v>
      </c>
      <c r="N12" s="8">
        <v>0</v>
      </c>
      <c r="O12" s="8">
        <v>0</v>
      </c>
      <c r="P12" s="8">
        <v>0</v>
      </c>
      <c r="Q12" s="8">
        <v>0</v>
      </c>
      <c r="R12" s="8">
        <v>0</v>
      </c>
      <c r="S12" s="8">
        <v>0</v>
      </c>
      <c r="T12" s="8">
        <v>0</v>
      </c>
      <c r="U12" s="8">
        <v>0</v>
      </c>
      <c r="V12" s="8">
        <v>0</v>
      </c>
      <c r="W12" s="8"/>
      <c r="X12" s="8"/>
      <c r="Y12" s="8"/>
      <c r="Z12" s="8"/>
      <c r="AA12" s="8"/>
      <c r="AB12" s="8"/>
      <c r="AC12" s="8"/>
      <c r="AD12" s="8"/>
      <c r="AE12" s="8"/>
      <c r="AF12" s="8"/>
    </row>
    <row r="13" spans="1:32" s="6" customFormat="1" x14ac:dyDescent="0.25">
      <c r="A13" s="6" t="s">
        <v>173</v>
      </c>
      <c r="B13" s="6" t="s">
        <v>153</v>
      </c>
      <c r="C13" s="39" t="s">
        <v>4</v>
      </c>
      <c r="D13" s="39">
        <v>12</v>
      </c>
      <c r="E13" s="8">
        <v>0</v>
      </c>
      <c r="F13" s="8">
        <v>0</v>
      </c>
      <c r="G13" s="8">
        <v>0</v>
      </c>
      <c r="H13" s="8">
        <v>0</v>
      </c>
      <c r="I13" s="8">
        <v>0</v>
      </c>
      <c r="J13" s="8">
        <v>0</v>
      </c>
      <c r="K13" s="8">
        <v>0</v>
      </c>
      <c r="L13" s="8">
        <v>0</v>
      </c>
      <c r="M13" s="8">
        <v>0</v>
      </c>
      <c r="N13" s="8">
        <v>0</v>
      </c>
      <c r="O13" s="8">
        <v>0</v>
      </c>
      <c r="P13" s="8">
        <v>0</v>
      </c>
      <c r="Q13" s="8">
        <v>0</v>
      </c>
      <c r="R13" s="8">
        <v>0</v>
      </c>
      <c r="S13" s="8">
        <v>0</v>
      </c>
      <c r="T13" s="8">
        <v>0</v>
      </c>
      <c r="U13" s="8">
        <v>0</v>
      </c>
      <c r="V13" s="8">
        <v>0</v>
      </c>
      <c r="W13" s="8"/>
      <c r="X13" s="8"/>
      <c r="Y13" s="8"/>
      <c r="Z13" s="8"/>
      <c r="AA13" s="8"/>
      <c r="AB13" s="8"/>
      <c r="AC13" s="8"/>
      <c r="AD13" s="8"/>
      <c r="AE13" s="8"/>
      <c r="AF13" s="8"/>
    </row>
    <row r="14" spans="1:32" s="6" customFormat="1" x14ac:dyDescent="0.25">
      <c r="A14" s="6" t="s">
        <v>173</v>
      </c>
      <c r="B14" s="6" t="s">
        <v>154</v>
      </c>
      <c r="C14" s="39" t="s">
        <v>4</v>
      </c>
      <c r="D14" s="39">
        <v>13</v>
      </c>
      <c r="E14" s="8">
        <v>0</v>
      </c>
      <c r="F14" s="8">
        <v>0</v>
      </c>
      <c r="G14" s="8">
        <v>0</v>
      </c>
      <c r="H14" s="8">
        <v>0</v>
      </c>
      <c r="I14" s="8">
        <v>0</v>
      </c>
      <c r="J14" s="8">
        <v>0</v>
      </c>
      <c r="K14" s="8">
        <v>0</v>
      </c>
      <c r="L14" s="8">
        <v>0</v>
      </c>
      <c r="M14" s="8">
        <v>0</v>
      </c>
      <c r="N14" s="8">
        <v>0</v>
      </c>
      <c r="O14" s="8">
        <v>0</v>
      </c>
      <c r="P14" s="8">
        <v>0</v>
      </c>
      <c r="Q14" s="8">
        <v>0</v>
      </c>
      <c r="R14" s="8">
        <v>0</v>
      </c>
      <c r="S14" s="8">
        <v>0</v>
      </c>
      <c r="T14" s="8">
        <v>0</v>
      </c>
      <c r="U14" s="8">
        <v>0</v>
      </c>
      <c r="V14" s="8">
        <v>0</v>
      </c>
      <c r="W14" s="8"/>
      <c r="X14" s="8"/>
      <c r="Y14" s="8"/>
      <c r="Z14" s="8"/>
      <c r="AA14" s="8"/>
      <c r="AB14" s="8"/>
      <c r="AC14" s="8"/>
      <c r="AD14" s="8"/>
      <c r="AE14" s="8"/>
      <c r="AF14" s="8"/>
    </row>
    <row r="15" spans="1:32" s="6" customFormat="1" x14ac:dyDescent="0.25">
      <c r="A15" s="6" t="s">
        <v>173</v>
      </c>
      <c r="B15" s="6" t="s">
        <v>158</v>
      </c>
      <c r="C15" s="39" t="s">
        <v>4</v>
      </c>
      <c r="D15" s="39">
        <v>14</v>
      </c>
      <c r="E15" s="8">
        <v>0</v>
      </c>
      <c r="F15" s="8">
        <v>0</v>
      </c>
      <c r="G15" s="8">
        <v>0</v>
      </c>
      <c r="H15" s="8">
        <v>0</v>
      </c>
      <c r="I15" s="8">
        <v>0</v>
      </c>
      <c r="J15" s="8">
        <v>0</v>
      </c>
      <c r="K15" s="8">
        <v>0</v>
      </c>
      <c r="L15" s="8">
        <v>0</v>
      </c>
      <c r="M15" s="8">
        <v>0</v>
      </c>
      <c r="N15" s="8">
        <v>0</v>
      </c>
      <c r="O15" s="8">
        <v>0</v>
      </c>
      <c r="P15" s="8">
        <v>0</v>
      </c>
      <c r="Q15" s="8">
        <v>0</v>
      </c>
      <c r="R15" s="8">
        <v>0</v>
      </c>
      <c r="S15" s="8">
        <v>0</v>
      </c>
      <c r="T15" s="8">
        <v>0</v>
      </c>
      <c r="U15" s="8">
        <v>0</v>
      </c>
      <c r="V15" s="8">
        <v>0</v>
      </c>
      <c r="W15" s="8"/>
      <c r="X15" s="8"/>
      <c r="Y15" s="8"/>
      <c r="Z15" s="8"/>
      <c r="AA15" s="8"/>
      <c r="AB15" s="8"/>
      <c r="AC15" s="8"/>
      <c r="AD15" s="8"/>
      <c r="AE15" s="8"/>
      <c r="AF15" s="8"/>
    </row>
    <row r="16" spans="1:32" s="6" customFormat="1" x14ac:dyDescent="0.25">
      <c r="A16" s="6" t="s">
        <v>173</v>
      </c>
      <c r="B16" s="6" t="s">
        <v>157</v>
      </c>
      <c r="C16" s="39" t="s">
        <v>4</v>
      </c>
      <c r="D16" s="39">
        <v>15</v>
      </c>
      <c r="E16" s="8">
        <v>0</v>
      </c>
      <c r="F16" s="8">
        <v>0</v>
      </c>
      <c r="G16" s="8">
        <v>0</v>
      </c>
      <c r="H16" s="8">
        <v>0</v>
      </c>
      <c r="I16" s="8">
        <v>0</v>
      </c>
      <c r="J16" s="8">
        <v>0</v>
      </c>
      <c r="K16" s="8">
        <v>0</v>
      </c>
      <c r="L16" s="8">
        <v>0</v>
      </c>
      <c r="M16" s="8">
        <v>0</v>
      </c>
      <c r="N16" s="8">
        <v>0</v>
      </c>
      <c r="O16" s="8">
        <v>0</v>
      </c>
      <c r="P16" s="8">
        <v>0</v>
      </c>
      <c r="Q16" s="8">
        <v>0</v>
      </c>
      <c r="R16" s="8">
        <v>0</v>
      </c>
      <c r="S16" s="8">
        <v>0</v>
      </c>
      <c r="T16" s="8">
        <v>0</v>
      </c>
      <c r="U16" s="8">
        <v>0</v>
      </c>
      <c r="V16" s="8">
        <v>0</v>
      </c>
      <c r="W16" s="8"/>
      <c r="X16" s="8"/>
      <c r="Y16" s="8"/>
      <c r="Z16" s="8"/>
      <c r="AA16" s="8"/>
      <c r="AB16" s="8"/>
      <c r="AC16" s="8"/>
      <c r="AD16" s="8"/>
      <c r="AE16" s="8"/>
      <c r="AF16" s="8"/>
    </row>
    <row r="17" spans="1:32" s="6" customFormat="1" x14ac:dyDescent="0.25">
      <c r="A17" s="6" t="s">
        <v>173</v>
      </c>
      <c r="B17" s="6" t="s">
        <v>156</v>
      </c>
      <c r="C17" s="39" t="s">
        <v>4</v>
      </c>
      <c r="D17" s="39">
        <v>16</v>
      </c>
      <c r="E17" s="8">
        <v>0</v>
      </c>
      <c r="F17" s="8">
        <v>0</v>
      </c>
      <c r="G17" s="8">
        <v>0</v>
      </c>
      <c r="H17" s="8">
        <v>0</v>
      </c>
      <c r="I17" s="8">
        <v>0</v>
      </c>
      <c r="J17" s="8">
        <v>0</v>
      </c>
      <c r="K17" s="8">
        <v>0</v>
      </c>
      <c r="L17" s="8">
        <v>0</v>
      </c>
      <c r="M17" s="8">
        <v>0</v>
      </c>
      <c r="N17" s="8">
        <v>0</v>
      </c>
      <c r="O17" s="8">
        <v>0</v>
      </c>
      <c r="P17" s="8">
        <v>0</v>
      </c>
      <c r="Q17" s="8">
        <v>0</v>
      </c>
      <c r="R17" s="8">
        <v>0</v>
      </c>
      <c r="S17" s="8">
        <v>0</v>
      </c>
      <c r="T17" s="8">
        <v>0</v>
      </c>
      <c r="U17" s="8">
        <v>0</v>
      </c>
      <c r="V17" s="8">
        <v>0</v>
      </c>
      <c r="W17" s="8"/>
      <c r="X17" s="8"/>
      <c r="Y17" s="8"/>
      <c r="Z17" s="8"/>
      <c r="AA17" s="8"/>
      <c r="AB17" s="8"/>
      <c r="AC17" s="8"/>
      <c r="AD17" s="8"/>
      <c r="AE17" s="8"/>
      <c r="AF17" s="8"/>
    </row>
    <row r="18" spans="1:32" s="6" customFormat="1" x14ac:dyDescent="0.25">
      <c r="A18" s="6" t="s">
        <v>173</v>
      </c>
      <c r="B18" s="6" t="s">
        <v>155</v>
      </c>
      <c r="C18" s="39" t="s">
        <v>4</v>
      </c>
      <c r="D18" s="39">
        <v>17</v>
      </c>
      <c r="E18" s="8">
        <v>0</v>
      </c>
      <c r="F18" s="8">
        <v>0</v>
      </c>
      <c r="G18" s="8">
        <v>0</v>
      </c>
      <c r="H18" s="8">
        <v>0</v>
      </c>
      <c r="I18" s="8">
        <v>0</v>
      </c>
      <c r="J18" s="8">
        <v>0</v>
      </c>
      <c r="K18" s="8">
        <v>0</v>
      </c>
      <c r="L18" s="8">
        <v>0</v>
      </c>
      <c r="M18" s="8">
        <v>0</v>
      </c>
      <c r="N18" s="8">
        <v>0</v>
      </c>
      <c r="O18" s="8">
        <v>0</v>
      </c>
      <c r="P18" s="8">
        <v>0</v>
      </c>
      <c r="Q18" s="8">
        <v>0</v>
      </c>
      <c r="R18" s="8">
        <v>0</v>
      </c>
      <c r="S18" s="8">
        <v>0</v>
      </c>
      <c r="T18" s="8">
        <v>0</v>
      </c>
      <c r="U18" s="8">
        <v>0</v>
      </c>
      <c r="V18" s="8">
        <v>0</v>
      </c>
      <c r="W18" s="8"/>
      <c r="X18" s="8"/>
      <c r="Y18" s="8"/>
      <c r="Z18" s="8"/>
      <c r="AA18" s="8"/>
      <c r="AB18" s="8"/>
      <c r="AC18" s="8"/>
      <c r="AD18" s="8"/>
      <c r="AE18" s="8"/>
      <c r="AF18" s="8"/>
    </row>
    <row r="19" spans="1:32" s="6" customFormat="1" x14ac:dyDescent="0.25">
      <c r="A19" s="6" t="s">
        <v>173</v>
      </c>
      <c r="B19" s="6" t="s">
        <v>160</v>
      </c>
      <c r="C19" s="39" t="s">
        <v>4</v>
      </c>
      <c r="D19" s="39">
        <v>18</v>
      </c>
      <c r="E19" s="8">
        <v>0</v>
      </c>
      <c r="F19" s="8">
        <v>0</v>
      </c>
      <c r="G19" s="8">
        <v>0</v>
      </c>
      <c r="H19" s="8">
        <v>0</v>
      </c>
      <c r="I19" s="8">
        <v>0</v>
      </c>
      <c r="J19" s="8">
        <v>0</v>
      </c>
      <c r="K19" s="8">
        <v>0</v>
      </c>
      <c r="L19" s="8">
        <v>0</v>
      </c>
      <c r="M19" s="8">
        <v>0</v>
      </c>
      <c r="N19" s="8">
        <v>0</v>
      </c>
      <c r="O19" s="8">
        <v>0</v>
      </c>
      <c r="P19" s="8">
        <v>0</v>
      </c>
      <c r="Q19" s="8">
        <v>0</v>
      </c>
      <c r="R19" s="8">
        <v>0</v>
      </c>
      <c r="S19" s="8">
        <v>0</v>
      </c>
      <c r="T19" s="8">
        <v>0</v>
      </c>
      <c r="U19" s="8">
        <v>0</v>
      </c>
      <c r="V19" s="8">
        <v>0</v>
      </c>
      <c r="W19" s="8"/>
      <c r="X19" s="8"/>
      <c r="Y19" s="8"/>
      <c r="Z19" s="8"/>
      <c r="AA19" s="8"/>
      <c r="AB19" s="8"/>
      <c r="AC19" s="8"/>
      <c r="AD19" s="8"/>
      <c r="AE19" s="8"/>
      <c r="AF19" s="8"/>
    </row>
    <row r="20" spans="1:32" s="6" customFormat="1" x14ac:dyDescent="0.25">
      <c r="A20" s="6" t="s">
        <v>173</v>
      </c>
      <c r="B20" s="6" t="s">
        <v>162</v>
      </c>
      <c r="C20" s="39" t="s">
        <v>4</v>
      </c>
      <c r="D20" s="39">
        <v>19</v>
      </c>
      <c r="E20" s="8">
        <v>0</v>
      </c>
      <c r="F20" s="8">
        <v>0</v>
      </c>
      <c r="G20" s="8">
        <v>0</v>
      </c>
      <c r="H20" s="8">
        <v>0</v>
      </c>
      <c r="I20" s="8">
        <v>0</v>
      </c>
      <c r="J20" s="8">
        <v>0</v>
      </c>
      <c r="K20" s="8">
        <v>0</v>
      </c>
      <c r="L20" s="8">
        <v>0</v>
      </c>
      <c r="M20" s="8">
        <v>0</v>
      </c>
      <c r="N20" s="8">
        <v>0</v>
      </c>
      <c r="O20" s="8">
        <v>0</v>
      </c>
      <c r="P20" s="8">
        <v>0</v>
      </c>
      <c r="Q20" s="8">
        <v>0</v>
      </c>
      <c r="R20" s="8">
        <v>0</v>
      </c>
      <c r="S20" s="8">
        <v>0</v>
      </c>
      <c r="T20" s="8">
        <v>0</v>
      </c>
      <c r="U20" s="8">
        <v>0</v>
      </c>
      <c r="V20" s="8">
        <v>0</v>
      </c>
      <c r="W20" s="8"/>
      <c r="X20" s="8"/>
      <c r="Y20" s="8"/>
      <c r="Z20" s="8"/>
      <c r="AA20" s="8"/>
      <c r="AB20" s="8"/>
      <c r="AC20" s="8"/>
      <c r="AD20" s="8"/>
      <c r="AE20" s="8"/>
      <c r="AF20" s="8"/>
    </row>
    <row r="21" spans="1:32" s="6" customFormat="1" x14ac:dyDescent="0.25">
      <c r="A21" s="6" t="s">
        <v>173</v>
      </c>
      <c r="B21" s="6" t="s">
        <v>159</v>
      </c>
      <c r="C21" s="39" t="s">
        <v>4</v>
      </c>
      <c r="D21" s="39">
        <v>20</v>
      </c>
      <c r="E21" s="8">
        <v>0</v>
      </c>
      <c r="F21" s="8">
        <v>0</v>
      </c>
      <c r="G21" s="8">
        <v>0</v>
      </c>
      <c r="H21" s="8">
        <v>0</v>
      </c>
      <c r="I21" s="8">
        <v>0</v>
      </c>
      <c r="J21" s="8">
        <v>0</v>
      </c>
      <c r="K21" s="8">
        <v>0</v>
      </c>
      <c r="L21" s="8">
        <v>0</v>
      </c>
      <c r="M21" s="8">
        <v>0</v>
      </c>
      <c r="N21" s="8">
        <v>0</v>
      </c>
      <c r="O21" s="8">
        <v>0</v>
      </c>
      <c r="P21" s="8">
        <v>0</v>
      </c>
      <c r="Q21" s="8">
        <v>0</v>
      </c>
      <c r="R21" s="8">
        <v>0</v>
      </c>
      <c r="S21" s="8">
        <v>0</v>
      </c>
      <c r="T21" s="8">
        <v>0</v>
      </c>
      <c r="U21" s="8">
        <v>0</v>
      </c>
      <c r="V21" s="8">
        <v>0</v>
      </c>
      <c r="W21" s="8"/>
      <c r="X21" s="8"/>
      <c r="Y21" s="8"/>
      <c r="Z21" s="8"/>
      <c r="AA21" s="8"/>
      <c r="AB21" s="8"/>
      <c r="AC21" s="8"/>
      <c r="AD21" s="8"/>
      <c r="AE21" s="8"/>
      <c r="AF21" s="8"/>
    </row>
    <row r="22" spans="1:32" s="6" customFormat="1" x14ac:dyDescent="0.25">
      <c r="A22" s="6" t="s">
        <v>173</v>
      </c>
      <c r="B22" s="6" t="s">
        <v>161</v>
      </c>
      <c r="C22" s="39" t="s">
        <v>4</v>
      </c>
      <c r="D22" s="39">
        <v>21</v>
      </c>
      <c r="E22" s="8">
        <v>0</v>
      </c>
      <c r="F22" s="8">
        <v>0</v>
      </c>
      <c r="G22" s="8">
        <v>0</v>
      </c>
      <c r="H22" s="8">
        <v>0</v>
      </c>
      <c r="I22" s="8">
        <v>0</v>
      </c>
      <c r="J22" s="8">
        <v>0</v>
      </c>
      <c r="K22" s="8">
        <v>0</v>
      </c>
      <c r="L22" s="8">
        <v>0</v>
      </c>
      <c r="M22" s="8">
        <v>0</v>
      </c>
      <c r="N22" s="8">
        <v>0</v>
      </c>
      <c r="O22" s="8">
        <v>0</v>
      </c>
      <c r="P22" s="8">
        <v>0</v>
      </c>
      <c r="Q22" s="8">
        <v>0</v>
      </c>
      <c r="R22" s="8">
        <v>0</v>
      </c>
      <c r="S22" s="8">
        <v>0</v>
      </c>
      <c r="T22" s="8">
        <v>0</v>
      </c>
      <c r="U22" s="8">
        <v>0</v>
      </c>
      <c r="V22" s="8">
        <v>0</v>
      </c>
      <c r="W22" s="8"/>
      <c r="X22" s="8"/>
      <c r="Y22" s="8"/>
      <c r="Z22" s="8"/>
      <c r="AA22" s="8"/>
      <c r="AB22" s="8"/>
      <c r="AC22" s="8"/>
      <c r="AD22" s="8"/>
      <c r="AE22" s="8"/>
      <c r="AF22" s="8"/>
    </row>
    <row r="23" spans="1:32" s="6" customFormat="1" x14ac:dyDescent="0.25">
      <c r="A23" s="6" t="s">
        <v>173</v>
      </c>
      <c r="B23" s="6" t="s">
        <v>164</v>
      </c>
      <c r="C23" s="39" t="s">
        <v>4</v>
      </c>
      <c r="D23" s="39">
        <v>22</v>
      </c>
      <c r="E23" s="8">
        <v>0</v>
      </c>
      <c r="F23" s="8">
        <v>0</v>
      </c>
      <c r="G23" s="8">
        <v>0</v>
      </c>
      <c r="H23" s="8">
        <v>0</v>
      </c>
      <c r="I23" s="8">
        <v>0</v>
      </c>
      <c r="J23" s="8">
        <v>0</v>
      </c>
      <c r="K23" s="8">
        <v>0</v>
      </c>
      <c r="L23" s="8">
        <v>0</v>
      </c>
      <c r="M23" s="8">
        <v>0</v>
      </c>
      <c r="N23" s="8">
        <v>0</v>
      </c>
      <c r="O23" s="8">
        <v>0</v>
      </c>
      <c r="P23" s="8">
        <v>0</v>
      </c>
      <c r="Q23" s="8">
        <v>0</v>
      </c>
      <c r="R23" s="8">
        <v>0</v>
      </c>
      <c r="S23" s="8">
        <v>0</v>
      </c>
      <c r="T23" s="8">
        <v>0</v>
      </c>
      <c r="U23" s="8">
        <v>0</v>
      </c>
      <c r="V23" s="8">
        <v>0</v>
      </c>
      <c r="W23" s="8"/>
      <c r="X23" s="8"/>
      <c r="Y23" s="8"/>
      <c r="Z23" s="8"/>
      <c r="AA23" s="8"/>
      <c r="AB23" s="8"/>
      <c r="AC23" s="8"/>
      <c r="AD23" s="8"/>
      <c r="AE23" s="8"/>
      <c r="AF23" s="8"/>
    </row>
    <row r="24" spans="1:32" s="6" customFormat="1" x14ac:dyDescent="0.25">
      <c r="A24" s="6" t="s">
        <v>173</v>
      </c>
      <c r="B24" s="6" t="s">
        <v>169</v>
      </c>
      <c r="C24" s="39" t="s">
        <v>4</v>
      </c>
      <c r="D24" s="39">
        <v>23</v>
      </c>
      <c r="E24" s="8">
        <v>0</v>
      </c>
      <c r="F24" s="8">
        <v>0</v>
      </c>
      <c r="G24" s="8">
        <v>0</v>
      </c>
      <c r="H24" s="8">
        <v>0</v>
      </c>
      <c r="I24" s="8">
        <v>0</v>
      </c>
      <c r="J24" s="8">
        <v>0</v>
      </c>
      <c r="K24" s="8">
        <v>0</v>
      </c>
      <c r="L24" s="8">
        <v>0</v>
      </c>
      <c r="M24" s="8">
        <v>0</v>
      </c>
      <c r="N24" s="8">
        <v>0</v>
      </c>
      <c r="O24" s="8">
        <v>0</v>
      </c>
      <c r="P24" s="8">
        <v>0</v>
      </c>
      <c r="Q24" s="8">
        <v>0</v>
      </c>
      <c r="R24" s="8">
        <v>0</v>
      </c>
      <c r="S24" s="8">
        <v>0</v>
      </c>
      <c r="T24" s="8">
        <v>0</v>
      </c>
      <c r="U24" s="8">
        <v>0</v>
      </c>
      <c r="V24" s="8">
        <v>0</v>
      </c>
      <c r="W24" s="8"/>
      <c r="X24" s="8"/>
      <c r="Y24" s="8"/>
      <c r="Z24" s="8"/>
      <c r="AA24" s="8"/>
      <c r="AB24" s="8"/>
      <c r="AC24" s="8"/>
      <c r="AD24" s="8"/>
      <c r="AE24" s="8"/>
      <c r="AF24" s="8"/>
    </row>
    <row r="25" spans="1:32" s="6" customFormat="1" x14ac:dyDescent="0.25">
      <c r="A25" s="6" t="s">
        <v>173</v>
      </c>
      <c r="B25" s="6" t="s">
        <v>170</v>
      </c>
      <c r="C25" s="39" t="s">
        <v>4</v>
      </c>
      <c r="D25" s="39">
        <v>24</v>
      </c>
      <c r="E25" s="8">
        <v>0</v>
      </c>
      <c r="F25" s="8">
        <v>0</v>
      </c>
      <c r="G25" s="8">
        <v>0</v>
      </c>
      <c r="H25" s="8">
        <v>0</v>
      </c>
      <c r="I25" s="8">
        <v>0</v>
      </c>
      <c r="J25" s="8">
        <v>0</v>
      </c>
      <c r="K25" s="8">
        <v>0</v>
      </c>
      <c r="L25" s="8">
        <v>0</v>
      </c>
      <c r="M25" s="8">
        <v>0</v>
      </c>
      <c r="N25" s="8">
        <v>0</v>
      </c>
      <c r="O25" s="8">
        <v>0</v>
      </c>
      <c r="P25" s="8">
        <v>0</v>
      </c>
      <c r="Q25" s="8">
        <v>0</v>
      </c>
      <c r="R25" s="8">
        <v>0</v>
      </c>
      <c r="S25" s="8">
        <v>0</v>
      </c>
      <c r="T25" s="8">
        <v>0</v>
      </c>
      <c r="U25" s="8">
        <v>0</v>
      </c>
      <c r="V25" s="8">
        <v>0</v>
      </c>
      <c r="W25" s="8"/>
      <c r="X25" s="8"/>
      <c r="Y25" s="8"/>
      <c r="Z25" s="8"/>
      <c r="AA25" s="8"/>
      <c r="AB25" s="8"/>
      <c r="AC25" s="8"/>
      <c r="AD25" s="8"/>
      <c r="AE25" s="8"/>
      <c r="AF25" s="8"/>
    </row>
    <row r="26" spans="1:32" s="6" customFormat="1" x14ac:dyDescent="0.25">
      <c r="A26" s="6" t="s">
        <v>173</v>
      </c>
      <c r="B26" s="6" t="s">
        <v>171</v>
      </c>
      <c r="C26" s="39" t="s">
        <v>4</v>
      </c>
      <c r="D26" s="39">
        <v>25</v>
      </c>
      <c r="E26" s="8">
        <v>0</v>
      </c>
      <c r="F26" s="8">
        <v>0</v>
      </c>
      <c r="G26" s="8">
        <v>0</v>
      </c>
      <c r="H26" s="8">
        <v>0</v>
      </c>
      <c r="I26" s="8">
        <v>0</v>
      </c>
      <c r="J26" s="8">
        <v>0</v>
      </c>
      <c r="K26" s="8">
        <v>0</v>
      </c>
      <c r="L26" s="8">
        <v>0</v>
      </c>
      <c r="M26" s="8">
        <v>0</v>
      </c>
      <c r="N26" s="8">
        <v>0</v>
      </c>
      <c r="O26" s="8">
        <v>0</v>
      </c>
      <c r="P26" s="8">
        <v>0</v>
      </c>
      <c r="Q26" s="8">
        <v>0</v>
      </c>
      <c r="R26" s="8">
        <v>0</v>
      </c>
      <c r="S26" s="8">
        <v>0</v>
      </c>
      <c r="T26" s="8">
        <v>0</v>
      </c>
      <c r="U26" s="8">
        <v>0</v>
      </c>
      <c r="V26" s="8">
        <v>0</v>
      </c>
      <c r="W26" s="8"/>
      <c r="X26" s="8"/>
      <c r="Y26" s="8"/>
      <c r="Z26" s="8"/>
      <c r="AA26" s="8"/>
      <c r="AB26" s="8"/>
      <c r="AC26" s="8"/>
      <c r="AD26" s="8"/>
      <c r="AE26" s="8"/>
      <c r="AF26" s="8"/>
    </row>
    <row r="27" spans="1:32" s="6" customFormat="1" x14ac:dyDescent="0.25">
      <c r="A27" s="6" t="s">
        <v>173</v>
      </c>
      <c r="B27" s="6" t="s">
        <v>172</v>
      </c>
      <c r="C27" s="39" t="s">
        <v>4</v>
      </c>
      <c r="D27" s="39">
        <v>26</v>
      </c>
      <c r="E27" s="8">
        <v>0</v>
      </c>
      <c r="F27" s="8">
        <v>0</v>
      </c>
      <c r="G27" s="8">
        <v>0</v>
      </c>
      <c r="H27" s="8">
        <v>0</v>
      </c>
      <c r="I27" s="8">
        <v>0</v>
      </c>
      <c r="J27" s="8">
        <v>0</v>
      </c>
      <c r="K27" s="8">
        <v>0</v>
      </c>
      <c r="L27" s="8">
        <v>0</v>
      </c>
      <c r="M27" s="8">
        <v>0</v>
      </c>
      <c r="N27" s="8">
        <v>0</v>
      </c>
      <c r="O27" s="8">
        <v>0</v>
      </c>
      <c r="P27" s="8">
        <v>0</v>
      </c>
      <c r="Q27" s="8">
        <v>0</v>
      </c>
      <c r="R27" s="8">
        <v>0</v>
      </c>
      <c r="S27" s="8">
        <v>0</v>
      </c>
      <c r="T27" s="8">
        <v>0</v>
      </c>
      <c r="U27" s="8">
        <v>0</v>
      </c>
      <c r="V27" s="8">
        <v>0</v>
      </c>
      <c r="W27" s="8"/>
      <c r="X27" s="8"/>
      <c r="Y27" s="8"/>
      <c r="Z27" s="8"/>
      <c r="AA27" s="8"/>
      <c r="AB27" s="8"/>
      <c r="AC27" s="8"/>
      <c r="AD27" s="8"/>
      <c r="AE27" s="8"/>
      <c r="AF27" s="8"/>
    </row>
    <row r="28" spans="1:32" s="6" customFormat="1" x14ac:dyDescent="0.25">
      <c r="A28" s="6" t="s">
        <v>173</v>
      </c>
      <c r="B28" s="6" t="s">
        <v>135</v>
      </c>
      <c r="C28" s="39" t="s">
        <v>4</v>
      </c>
      <c r="D28" s="39">
        <v>27</v>
      </c>
      <c r="E28" s="8">
        <v>0</v>
      </c>
      <c r="F28" s="8">
        <v>0</v>
      </c>
      <c r="G28" s="8">
        <v>0</v>
      </c>
      <c r="H28" s="8">
        <v>0</v>
      </c>
      <c r="I28" s="8">
        <v>0</v>
      </c>
      <c r="J28" s="8">
        <v>0</v>
      </c>
      <c r="K28" s="8">
        <v>0</v>
      </c>
      <c r="L28" s="8">
        <v>0</v>
      </c>
      <c r="M28" s="8">
        <v>0</v>
      </c>
      <c r="N28" s="8">
        <v>0</v>
      </c>
      <c r="O28" s="8">
        <v>0</v>
      </c>
      <c r="P28" s="8">
        <v>0</v>
      </c>
      <c r="Q28" s="8">
        <v>0</v>
      </c>
      <c r="R28" s="8">
        <v>0</v>
      </c>
      <c r="S28" s="8">
        <v>0</v>
      </c>
      <c r="T28" s="8">
        <v>0</v>
      </c>
      <c r="U28" s="8">
        <v>0</v>
      </c>
      <c r="V28" s="8">
        <v>0</v>
      </c>
      <c r="W28" s="8"/>
      <c r="X28" s="8"/>
      <c r="Y28" s="8"/>
      <c r="Z28" s="8"/>
      <c r="AA28" s="8"/>
      <c r="AB28" s="8"/>
      <c r="AC28" s="8"/>
      <c r="AD28" s="8"/>
      <c r="AE28" s="8"/>
      <c r="AF28" s="8"/>
    </row>
    <row r="29" spans="1:32" s="6" customFormat="1" x14ac:dyDescent="0.25">
      <c r="A29" s="6" t="s">
        <v>173</v>
      </c>
      <c r="B29" s="6" t="s">
        <v>136</v>
      </c>
      <c r="C29" s="39" t="s">
        <v>4</v>
      </c>
      <c r="D29" s="39">
        <v>28</v>
      </c>
      <c r="E29" s="8">
        <v>0</v>
      </c>
      <c r="F29" s="8">
        <v>0</v>
      </c>
      <c r="G29" s="8">
        <v>0</v>
      </c>
      <c r="H29" s="8">
        <v>0</v>
      </c>
      <c r="I29" s="8">
        <v>0</v>
      </c>
      <c r="J29" s="8">
        <v>0</v>
      </c>
      <c r="K29" s="8">
        <v>0</v>
      </c>
      <c r="L29" s="8">
        <v>0</v>
      </c>
      <c r="M29" s="8">
        <v>0</v>
      </c>
      <c r="N29" s="8">
        <v>0</v>
      </c>
      <c r="O29" s="8">
        <v>0</v>
      </c>
      <c r="P29" s="8">
        <v>0</v>
      </c>
      <c r="Q29" s="8">
        <v>0</v>
      </c>
      <c r="R29" s="8">
        <v>0</v>
      </c>
      <c r="S29" s="8">
        <v>0</v>
      </c>
      <c r="T29" s="8">
        <v>0</v>
      </c>
      <c r="U29" s="8">
        <v>0</v>
      </c>
      <c r="V29" s="8">
        <v>0</v>
      </c>
      <c r="W29" s="8"/>
      <c r="X29" s="8"/>
      <c r="Y29" s="8"/>
      <c r="Z29" s="8"/>
      <c r="AA29" s="8"/>
      <c r="AB29" s="8"/>
      <c r="AC29" s="8"/>
      <c r="AD29" s="8"/>
      <c r="AE29" s="8"/>
      <c r="AF29" s="8"/>
    </row>
    <row r="30" spans="1:32" s="6" customFormat="1" x14ac:dyDescent="0.25">
      <c r="A30" s="6" t="s">
        <v>173</v>
      </c>
      <c r="B30" s="6" t="s">
        <v>137</v>
      </c>
      <c r="C30" s="39" t="s">
        <v>4</v>
      </c>
      <c r="D30" s="39">
        <v>29</v>
      </c>
      <c r="E30" s="8">
        <v>0</v>
      </c>
      <c r="F30" s="8">
        <v>0</v>
      </c>
      <c r="G30" s="8">
        <v>0</v>
      </c>
      <c r="H30" s="8">
        <v>0</v>
      </c>
      <c r="I30" s="8">
        <v>0</v>
      </c>
      <c r="J30" s="8">
        <v>0</v>
      </c>
      <c r="K30" s="8">
        <v>0</v>
      </c>
      <c r="L30" s="8">
        <v>0</v>
      </c>
      <c r="M30" s="8">
        <v>0</v>
      </c>
      <c r="N30" s="8">
        <v>0</v>
      </c>
      <c r="O30" s="8">
        <v>0</v>
      </c>
      <c r="P30" s="8">
        <v>0</v>
      </c>
      <c r="Q30" s="8">
        <v>0</v>
      </c>
      <c r="R30" s="8">
        <v>0</v>
      </c>
      <c r="S30" s="8">
        <v>0</v>
      </c>
      <c r="T30" s="8">
        <v>0</v>
      </c>
      <c r="U30" s="8">
        <v>0</v>
      </c>
      <c r="V30" s="8">
        <v>0</v>
      </c>
      <c r="W30" s="8"/>
      <c r="X30" s="8"/>
      <c r="Y30" s="8"/>
      <c r="Z30" s="8"/>
      <c r="AA30" s="8"/>
      <c r="AB30" s="8"/>
      <c r="AC30" s="8"/>
      <c r="AD30" s="8"/>
      <c r="AE30" s="8"/>
      <c r="AF30" s="8"/>
    </row>
    <row r="31" spans="1:32" s="6" customFormat="1" x14ac:dyDescent="0.25">
      <c r="A31" s="6" t="s">
        <v>173</v>
      </c>
      <c r="B31" s="6" t="s">
        <v>138</v>
      </c>
      <c r="C31" s="39" t="s">
        <v>4</v>
      </c>
      <c r="D31" s="39">
        <v>30</v>
      </c>
      <c r="E31" s="8">
        <v>0</v>
      </c>
      <c r="F31" s="8">
        <v>0</v>
      </c>
      <c r="G31" s="8">
        <v>0</v>
      </c>
      <c r="H31" s="8">
        <v>0</v>
      </c>
      <c r="I31" s="8">
        <v>0</v>
      </c>
      <c r="J31" s="8">
        <v>0</v>
      </c>
      <c r="K31" s="8">
        <v>0</v>
      </c>
      <c r="L31" s="8">
        <v>0</v>
      </c>
      <c r="M31" s="8">
        <v>0</v>
      </c>
      <c r="N31" s="8">
        <v>0</v>
      </c>
      <c r="O31" s="8">
        <v>0</v>
      </c>
      <c r="P31" s="8">
        <v>0</v>
      </c>
      <c r="Q31" s="8">
        <v>0</v>
      </c>
      <c r="R31" s="8">
        <v>0</v>
      </c>
      <c r="S31" s="8">
        <v>0</v>
      </c>
      <c r="T31" s="8">
        <v>0</v>
      </c>
      <c r="U31" s="8">
        <v>0</v>
      </c>
      <c r="V31" s="8">
        <v>0</v>
      </c>
      <c r="W31" s="8"/>
      <c r="X31" s="8"/>
      <c r="Y31" s="8"/>
      <c r="Z31" s="8"/>
      <c r="AA31" s="8"/>
      <c r="AB31" s="8"/>
      <c r="AC31" s="8"/>
      <c r="AD31" s="8"/>
      <c r="AE31" s="8"/>
      <c r="AF31" s="8"/>
    </row>
    <row r="32" spans="1:32" s="6" customFormat="1" x14ac:dyDescent="0.25">
      <c r="A32" s="6" t="s">
        <v>173</v>
      </c>
      <c r="B32" s="6" t="s">
        <v>139</v>
      </c>
      <c r="C32" s="39" t="s">
        <v>4</v>
      </c>
      <c r="D32" s="39">
        <v>31</v>
      </c>
      <c r="E32" s="8">
        <v>0</v>
      </c>
      <c r="F32" s="8">
        <v>0</v>
      </c>
      <c r="G32" s="8">
        <v>0</v>
      </c>
      <c r="H32" s="8">
        <v>0</v>
      </c>
      <c r="I32" s="8">
        <v>0</v>
      </c>
      <c r="J32" s="8">
        <v>0</v>
      </c>
      <c r="K32" s="8">
        <v>0</v>
      </c>
      <c r="L32" s="8">
        <v>0</v>
      </c>
      <c r="M32" s="8">
        <v>0</v>
      </c>
      <c r="N32" s="8">
        <v>0</v>
      </c>
      <c r="O32" s="8">
        <v>0</v>
      </c>
      <c r="P32" s="8">
        <v>0</v>
      </c>
      <c r="Q32" s="8">
        <v>0</v>
      </c>
      <c r="R32" s="8">
        <v>0</v>
      </c>
      <c r="S32" s="8">
        <v>0</v>
      </c>
      <c r="T32" s="8">
        <v>0</v>
      </c>
      <c r="U32" s="8">
        <v>0</v>
      </c>
      <c r="V32" s="8">
        <v>0</v>
      </c>
      <c r="W32" s="8"/>
      <c r="X32" s="8"/>
      <c r="Y32" s="8"/>
      <c r="Z32" s="8"/>
      <c r="AA32" s="8"/>
      <c r="AB32" s="8"/>
      <c r="AC32" s="8"/>
      <c r="AD32" s="8"/>
      <c r="AE32" s="8"/>
      <c r="AF32" s="8"/>
    </row>
    <row r="33" spans="1:32" s="6" customFormat="1" x14ac:dyDescent="0.25">
      <c r="A33" s="6" t="s">
        <v>173</v>
      </c>
      <c r="B33" s="6" t="s">
        <v>140</v>
      </c>
      <c r="C33" s="39" t="s">
        <v>4</v>
      </c>
      <c r="D33" s="39">
        <v>32</v>
      </c>
      <c r="E33" s="8">
        <v>0</v>
      </c>
      <c r="F33" s="8">
        <v>0</v>
      </c>
      <c r="G33" s="8">
        <v>0</v>
      </c>
      <c r="H33" s="8">
        <v>0</v>
      </c>
      <c r="I33" s="8">
        <v>0</v>
      </c>
      <c r="J33" s="8">
        <v>0</v>
      </c>
      <c r="K33" s="8">
        <v>0</v>
      </c>
      <c r="L33" s="8">
        <v>0</v>
      </c>
      <c r="M33" s="8">
        <v>0</v>
      </c>
      <c r="N33" s="8">
        <v>0</v>
      </c>
      <c r="O33" s="8">
        <v>0</v>
      </c>
      <c r="P33" s="8">
        <v>0</v>
      </c>
      <c r="Q33" s="8">
        <v>0</v>
      </c>
      <c r="R33" s="8">
        <v>0</v>
      </c>
      <c r="S33" s="8">
        <v>0</v>
      </c>
      <c r="T33" s="8">
        <v>0</v>
      </c>
      <c r="U33" s="8">
        <v>0</v>
      </c>
      <c r="V33" s="8">
        <v>0</v>
      </c>
      <c r="W33" s="8"/>
      <c r="X33" s="8"/>
      <c r="Y33" s="8"/>
      <c r="Z33" s="8"/>
      <c r="AA33" s="8"/>
      <c r="AB33" s="8"/>
      <c r="AC33" s="8"/>
      <c r="AD33" s="8"/>
      <c r="AE33" s="8"/>
      <c r="AF33" s="8"/>
    </row>
    <row r="34" spans="1:32" s="6" customFormat="1" x14ac:dyDescent="0.25">
      <c r="A34" s="6" t="s">
        <v>173</v>
      </c>
      <c r="B34" s="6" t="s">
        <v>141</v>
      </c>
      <c r="C34" s="39" t="s">
        <v>4</v>
      </c>
      <c r="D34" s="39">
        <v>33</v>
      </c>
      <c r="E34" s="8">
        <v>0</v>
      </c>
      <c r="F34" s="8">
        <v>0</v>
      </c>
      <c r="G34" s="8">
        <v>0</v>
      </c>
      <c r="H34" s="8">
        <v>0</v>
      </c>
      <c r="I34" s="8">
        <v>0</v>
      </c>
      <c r="J34" s="8">
        <v>0</v>
      </c>
      <c r="K34" s="8">
        <v>0</v>
      </c>
      <c r="L34" s="8">
        <v>0</v>
      </c>
      <c r="M34" s="8">
        <v>0</v>
      </c>
      <c r="N34" s="8">
        <v>0</v>
      </c>
      <c r="O34" s="8">
        <v>0</v>
      </c>
      <c r="P34" s="8">
        <v>0</v>
      </c>
      <c r="Q34" s="8">
        <v>0</v>
      </c>
      <c r="R34" s="8">
        <v>0</v>
      </c>
      <c r="S34" s="8">
        <v>0</v>
      </c>
      <c r="T34" s="8">
        <v>0</v>
      </c>
      <c r="U34" s="8">
        <v>0</v>
      </c>
      <c r="V34" s="8">
        <v>0</v>
      </c>
      <c r="W34" s="8"/>
      <c r="X34" s="8"/>
      <c r="Y34" s="8"/>
      <c r="Z34" s="8"/>
      <c r="AA34" s="8"/>
      <c r="AB34" s="8"/>
      <c r="AC34" s="8"/>
      <c r="AD34" s="8"/>
      <c r="AE34" s="8"/>
      <c r="AF34" s="8"/>
    </row>
    <row r="35" spans="1:32" s="6" customFormat="1" x14ac:dyDescent="0.25">
      <c r="A35" s="6" t="s">
        <v>173</v>
      </c>
      <c r="B35" s="6" t="s">
        <v>142</v>
      </c>
      <c r="C35" s="39" t="s">
        <v>4</v>
      </c>
      <c r="D35" s="39">
        <v>34</v>
      </c>
      <c r="E35" s="8">
        <v>0</v>
      </c>
      <c r="F35" s="8">
        <v>0</v>
      </c>
      <c r="G35" s="8">
        <v>0</v>
      </c>
      <c r="H35" s="8">
        <v>0</v>
      </c>
      <c r="I35" s="8">
        <v>0</v>
      </c>
      <c r="J35" s="8">
        <v>0</v>
      </c>
      <c r="K35" s="8">
        <v>0</v>
      </c>
      <c r="L35" s="8">
        <v>0</v>
      </c>
      <c r="M35" s="8">
        <v>0</v>
      </c>
      <c r="N35" s="8">
        <v>0</v>
      </c>
      <c r="O35" s="8">
        <v>0</v>
      </c>
      <c r="P35" s="8">
        <v>0</v>
      </c>
      <c r="Q35" s="8">
        <v>0</v>
      </c>
      <c r="R35" s="8">
        <v>0</v>
      </c>
      <c r="S35" s="8">
        <v>0</v>
      </c>
      <c r="T35" s="8">
        <v>0</v>
      </c>
      <c r="U35" s="8">
        <v>0</v>
      </c>
      <c r="V35" s="8">
        <v>0</v>
      </c>
      <c r="W35" s="8"/>
      <c r="X35" s="8"/>
      <c r="Y35" s="8"/>
      <c r="Z35" s="8"/>
      <c r="AA35" s="8"/>
      <c r="AB35" s="8"/>
      <c r="AC35" s="8"/>
      <c r="AD35" s="8"/>
      <c r="AE35" s="8"/>
      <c r="AF35" s="8"/>
    </row>
    <row r="36" spans="1:32" s="6" customFormat="1" x14ac:dyDescent="0.25">
      <c r="A36" s="6" t="s">
        <v>173</v>
      </c>
      <c r="B36" s="6" t="s">
        <v>143</v>
      </c>
      <c r="C36" s="39" t="s">
        <v>4</v>
      </c>
      <c r="D36" s="39">
        <v>35</v>
      </c>
      <c r="E36" s="8">
        <v>0</v>
      </c>
      <c r="F36" s="8">
        <v>0</v>
      </c>
      <c r="G36" s="8">
        <v>0</v>
      </c>
      <c r="H36" s="8">
        <v>0</v>
      </c>
      <c r="I36" s="8">
        <v>0</v>
      </c>
      <c r="J36" s="8">
        <v>0</v>
      </c>
      <c r="K36" s="8">
        <v>0</v>
      </c>
      <c r="L36" s="8">
        <v>0</v>
      </c>
      <c r="M36" s="8">
        <v>0</v>
      </c>
      <c r="N36" s="8">
        <v>0</v>
      </c>
      <c r="O36" s="8">
        <v>0</v>
      </c>
      <c r="P36" s="8">
        <v>0</v>
      </c>
      <c r="Q36" s="8">
        <v>0</v>
      </c>
      <c r="R36" s="8">
        <v>0</v>
      </c>
      <c r="S36" s="8">
        <v>0</v>
      </c>
      <c r="T36" s="8">
        <v>0</v>
      </c>
      <c r="U36" s="8">
        <v>0</v>
      </c>
      <c r="V36" s="8">
        <v>0</v>
      </c>
      <c r="W36" s="8"/>
      <c r="X36" s="8"/>
      <c r="Y36" s="8"/>
      <c r="Z36" s="8"/>
      <c r="AA36" s="8"/>
      <c r="AB36" s="8"/>
      <c r="AC36" s="8"/>
      <c r="AD36" s="8"/>
      <c r="AE36" s="8"/>
      <c r="AF36" s="8"/>
    </row>
    <row r="37" spans="1:32" s="6" customFormat="1" x14ac:dyDescent="0.25">
      <c r="A37" s="6" t="s">
        <v>173</v>
      </c>
      <c r="B37" s="6" t="s">
        <v>144</v>
      </c>
      <c r="C37" s="39" t="s">
        <v>4</v>
      </c>
      <c r="D37" s="39">
        <v>36</v>
      </c>
      <c r="E37" s="8">
        <v>0</v>
      </c>
      <c r="F37" s="8">
        <v>0</v>
      </c>
      <c r="G37" s="8">
        <v>0</v>
      </c>
      <c r="H37" s="8">
        <v>0</v>
      </c>
      <c r="I37" s="8">
        <v>0</v>
      </c>
      <c r="J37" s="8">
        <v>0</v>
      </c>
      <c r="K37" s="8">
        <v>0</v>
      </c>
      <c r="L37" s="8">
        <v>0</v>
      </c>
      <c r="M37" s="8">
        <v>0</v>
      </c>
      <c r="N37" s="8">
        <v>0</v>
      </c>
      <c r="O37" s="8">
        <v>0</v>
      </c>
      <c r="P37" s="8">
        <v>0</v>
      </c>
      <c r="Q37" s="8">
        <v>0</v>
      </c>
      <c r="R37" s="8">
        <v>0</v>
      </c>
      <c r="S37" s="8">
        <v>0</v>
      </c>
      <c r="T37" s="8">
        <v>0</v>
      </c>
      <c r="U37" s="8">
        <v>0</v>
      </c>
      <c r="V37" s="8">
        <v>0</v>
      </c>
      <c r="W37" s="8"/>
      <c r="X37" s="8"/>
      <c r="Y37" s="8"/>
      <c r="Z37" s="8"/>
      <c r="AA37" s="8"/>
      <c r="AB37" s="8"/>
      <c r="AC37" s="8"/>
      <c r="AD37" s="8"/>
      <c r="AE37" s="8"/>
      <c r="AF37" s="8"/>
    </row>
    <row r="38" spans="1:32" s="6" customFormat="1" x14ac:dyDescent="0.25">
      <c r="A38" s="6" t="s">
        <v>173</v>
      </c>
      <c r="B38" s="6" t="s">
        <v>145</v>
      </c>
      <c r="C38" s="39" t="s">
        <v>4</v>
      </c>
      <c r="D38" s="39">
        <v>37</v>
      </c>
      <c r="E38" s="8">
        <v>0</v>
      </c>
      <c r="F38" s="8">
        <v>0</v>
      </c>
      <c r="G38" s="8">
        <v>0</v>
      </c>
      <c r="H38" s="8">
        <v>0</v>
      </c>
      <c r="I38" s="8">
        <v>0</v>
      </c>
      <c r="J38" s="8">
        <v>0</v>
      </c>
      <c r="K38" s="8">
        <v>0</v>
      </c>
      <c r="L38" s="8">
        <v>0</v>
      </c>
      <c r="M38" s="8">
        <v>0</v>
      </c>
      <c r="N38" s="8">
        <v>0</v>
      </c>
      <c r="O38" s="8">
        <v>0</v>
      </c>
      <c r="P38" s="8">
        <v>0</v>
      </c>
      <c r="Q38" s="8">
        <v>0</v>
      </c>
      <c r="R38" s="8">
        <v>0</v>
      </c>
      <c r="S38" s="8">
        <v>0</v>
      </c>
      <c r="T38" s="8">
        <v>0</v>
      </c>
      <c r="U38" s="8">
        <v>0</v>
      </c>
      <c r="V38" s="8">
        <v>0</v>
      </c>
      <c r="W38" s="8"/>
      <c r="X38" s="8"/>
      <c r="Y38" s="8"/>
      <c r="Z38" s="8"/>
      <c r="AA38" s="8"/>
      <c r="AB38" s="8"/>
      <c r="AC38" s="8"/>
      <c r="AD38" s="8"/>
      <c r="AE38" s="8"/>
      <c r="AF38" s="8"/>
    </row>
    <row r="39" spans="1:32" s="6" customFormat="1" x14ac:dyDescent="0.25">
      <c r="A39" s="6" t="s">
        <v>174</v>
      </c>
      <c r="B39" s="6" t="s">
        <v>150</v>
      </c>
      <c r="C39" s="39" t="s">
        <v>4</v>
      </c>
      <c r="D39" s="39">
        <v>38</v>
      </c>
      <c r="E39" s="8">
        <v>0</v>
      </c>
      <c r="F39" s="8">
        <v>0</v>
      </c>
      <c r="G39" s="8">
        <v>0</v>
      </c>
      <c r="H39" s="8">
        <v>0</v>
      </c>
      <c r="I39" s="8">
        <v>0</v>
      </c>
      <c r="J39" s="8">
        <v>0</v>
      </c>
      <c r="K39" s="8">
        <v>0</v>
      </c>
      <c r="L39" s="8">
        <v>0</v>
      </c>
      <c r="M39" s="8">
        <v>0</v>
      </c>
      <c r="N39" s="8">
        <v>0</v>
      </c>
      <c r="O39" s="8">
        <v>0</v>
      </c>
      <c r="P39" s="8">
        <v>0</v>
      </c>
      <c r="Q39" s="8">
        <v>0</v>
      </c>
      <c r="R39" s="8">
        <v>0</v>
      </c>
      <c r="S39" s="8">
        <v>0</v>
      </c>
      <c r="T39" s="8">
        <v>0</v>
      </c>
      <c r="U39" s="8">
        <v>0</v>
      </c>
      <c r="V39" s="8">
        <v>0</v>
      </c>
      <c r="W39" s="8"/>
      <c r="X39" s="8"/>
      <c r="Y39" s="8"/>
      <c r="Z39" s="8"/>
      <c r="AA39" s="8"/>
      <c r="AB39" s="8"/>
      <c r="AC39" s="8"/>
      <c r="AD39" s="8"/>
      <c r="AE39" s="8"/>
      <c r="AF39" s="8"/>
    </row>
    <row r="40" spans="1:32" s="6" customFormat="1" x14ac:dyDescent="0.25">
      <c r="A40" s="6" t="s">
        <v>175</v>
      </c>
      <c r="B40" s="6" t="s">
        <v>167</v>
      </c>
      <c r="C40" s="39" t="s">
        <v>4</v>
      </c>
      <c r="D40" s="39">
        <v>39</v>
      </c>
      <c r="E40" s="8">
        <v>0</v>
      </c>
      <c r="F40" s="8">
        <v>0</v>
      </c>
      <c r="G40" s="8">
        <v>0</v>
      </c>
      <c r="H40" s="8">
        <v>0</v>
      </c>
      <c r="I40" s="8">
        <v>0</v>
      </c>
      <c r="J40" s="8">
        <v>0</v>
      </c>
      <c r="K40" s="8">
        <v>0</v>
      </c>
      <c r="L40" s="8">
        <v>0</v>
      </c>
      <c r="M40" s="8">
        <v>0</v>
      </c>
      <c r="N40" s="8">
        <v>0</v>
      </c>
      <c r="O40" s="8">
        <v>0</v>
      </c>
      <c r="P40" s="8">
        <v>0</v>
      </c>
      <c r="Q40" s="8">
        <v>0</v>
      </c>
      <c r="R40" s="8">
        <v>0</v>
      </c>
      <c r="S40" s="8">
        <v>0</v>
      </c>
      <c r="T40" s="8">
        <v>0</v>
      </c>
      <c r="U40" s="8">
        <v>0</v>
      </c>
      <c r="V40" s="8">
        <v>0</v>
      </c>
      <c r="W40" s="8"/>
      <c r="X40" s="8"/>
      <c r="Y40" s="8"/>
      <c r="Z40" s="8"/>
      <c r="AA40" s="8"/>
      <c r="AB40" s="8"/>
      <c r="AC40" s="8"/>
      <c r="AD40" s="8"/>
      <c r="AE40" s="8"/>
      <c r="AF40" s="8"/>
    </row>
    <row r="41" spans="1:32" s="6" customFormat="1" x14ac:dyDescent="0.25">
      <c r="A41" s="6" t="s">
        <v>175</v>
      </c>
      <c r="B41" s="6" t="s">
        <v>168</v>
      </c>
      <c r="C41" s="39" t="s">
        <v>4</v>
      </c>
      <c r="D41" s="39">
        <v>40</v>
      </c>
      <c r="E41" s="8">
        <v>0</v>
      </c>
      <c r="F41" s="8">
        <v>0</v>
      </c>
      <c r="G41" s="8">
        <v>0</v>
      </c>
      <c r="H41" s="8">
        <v>0</v>
      </c>
      <c r="I41" s="8">
        <v>0</v>
      </c>
      <c r="J41" s="8">
        <v>0</v>
      </c>
      <c r="K41" s="8">
        <v>0</v>
      </c>
      <c r="L41" s="8">
        <v>0</v>
      </c>
      <c r="M41" s="8">
        <v>0</v>
      </c>
      <c r="N41" s="8">
        <v>0</v>
      </c>
      <c r="O41" s="8">
        <v>0</v>
      </c>
      <c r="P41" s="8">
        <v>0</v>
      </c>
      <c r="Q41" s="8">
        <v>0</v>
      </c>
      <c r="R41" s="8">
        <v>0</v>
      </c>
      <c r="S41" s="8">
        <v>0</v>
      </c>
      <c r="T41" s="8">
        <v>0</v>
      </c>
      <c r="U41" s="8">
        <v>0</v>
      </c>
      <c r="V41" s="8">
        <v>0</v>
      </c>
      <c r="W41" s="8"/>
      <c r="X41" s="8"/>
      <c r="Y41" s="8"/>
      <c r="Z41" s="8"/>
      <c r="AA41" s="8"/>
      <c r="AB41" s="8"/>
      <c r="AC41" s="8"/>
      <c r="AD41" s="8"/>
      <c r="AE41" s="8"/>
      <c r="AF41" s="8"/>
    </row>
    <row r="42" spans="1:32" s="6" customFormat="1" x14ac:dyDescent="0.25">
      <c r="A42" s="6" t="s">
        <v>209</v>
      </c>
      <c r="B42" s="6" t="s">
        <v>214</v>
      </c>
      <c r="C42" s="39" t="s">
        <v>4</v>
      </c>
      <c r="D42" s="39">
        <v>41</v>
      </c>
      <c r="E42" s="8">
        <v>0</v>
      </c>
      <c r="F42" s="8">
        <v>0</v>
      </c>
      <c r="G42" s="8">
        <v>0</v>
      </c>
      <c r="H42" s="8">
        <v>0</v>
      </c>
      <c r="I42" s="8">
        <v>0</v>
      </c>
      <c r="J42" s="8">
        <v>0</v>
      </c>
      <c r="K42" s="8">
        <v>0</v>
      </c>
      <c r="L42" s="8">
        <v>0</v>
      </c>
      <c r="M42" s="8">
        <v>0</v>
      </c>
      <c r="N42" s="8">
        <v>0</v>
      </c>
      <c r="O42" s="8">
        <v>0</v>
      </c>
      <c r="P42" s="8">
        <v>0</v>
      </c>
      <c r="Q42" s="8">
        <v>0</v>
      </c>
      <c r="R42" s="8">
        <v>0</v>
      </c>
      <c r="S42" s="8">
        <v>0</v>
      </c>
      <c r="T42" s="8">
        <v>0</v>
      </c>
      <c r="U42" s="8">
        <v>0</v>
      </c>
      <c r="V42" s="8">
        <v>0</v>
      </c>
      <c r="W42" s="8"/>
      <c r="X42" s="8"/>
      <c r="Y42" s="8"/>
      <c r="Z42" s="8"/>
      <c r="AA42" s="8"/>
      <c r="AB42" s="8"/>
      <c r="AC42" s="8"/>
      <c r="AD42" s="8"/>
      <c r="AE42" s="8"/>
      <c r="AF42" s="8"/>
    </row>
    <row r="43" spans="1:32" s="6" customFormat="1" x14ac:dyDescent="0.25">
      <c r="A43" s="6" t="s">
        <v>209</v>
      </c>
      <c r="B43" s="6" t="s">
        <v>216</v>
      </c>
      <c r="C43" s="39" t="s">
        <v>4</v>
      </c>
      <c r="D43" s="39">
        <v>42</v>
      </c>
      <c r="E43" s="8">
        <v>0</v>
      </c>
      <c r="F43" s="8">
        <v>0</v>
      </c>
      <c r="G43" s="8">
        <v>0</v>
      </c>
      <c r="H43" s="8">
        <v>0</v>
      </c>
      <c r="I43" s="8">
        <v>0</v>
      </c>
      <c r="J43" s="8">
        <v>0</v>
      </c>
      <c r="K43" s="8">
        <v>0</v>
      </c>
      <c r="L43" s="8">
        <v>0</v>
      </c>
      <c r="M43" s="8">
        <v>0</v>
      </c>
      <c r="N43" s="8">
        <v>0</v>
      </c>
      <c r="O43" s="8">
        <v>0</v>
      </c>
      <c r="P43" s="8">
        <v>0</v>
      </c>
      <c r="Q43" s="8">
        <v>0</v>
      </c>
      <c r="R43" s="8">
        <v>0</v>
      </c>
      <c r="S43" s="8">
        <v>0</v>
      </c>
      <c r="T43" s="8">
        <v>0</v>
      </c>
      <c r="U43" s="8">
        <v>0</v>
      </c>
      <c r="V43" s="8">
        <v>0</v>
      </c>
      <c r="W43" s="8"/>
      <c r="X43" s="8"/>
      <c r="Y43" s="8"/>
      <c r="Z43" s="8"/>
      <c r="AA43" s="8"/>
      <c r="AB43" s="8"/>
      <c r="AC43" s="8"/>
      <c r="AD43" s="8"/>
      <c r="AE43" s="8"/>
      <c r="AF43" s="8"/>
    </row>
    <row r="44" spans="1:32" s="6" customFormat="1" x14ac:dyDescent="0.25">
      <c r="A44" s="6" t="s">
        <v>209</v>
      </c>
      <c r="B44" s="6" t="s">
        <v>217</v>
      </c>
      <c r="C44" s="39" t="s">
        <v>4</v>
      </c>
      <c r="D44" s="39">
        <v>43</v>
      </c>
      <c r="E44" s="8">
        <v>0</v>
      </c>
      <c r="F44" s="8">
        <v>0</v>
      </c>
      <c r="G44" s="8">
        <v>0</v>
      </c>
      <c r="H44" s="8">
        <v>0</v>
      </c>
      <c r="I44" s="8">
        <v>0</v>
      </c>
      <c r="J44" s="8">
        <v>0</v>
      </c>
      <c r="K44" s="8">
        <v>0</v>
      </c>
      <c r="L44" s="8">
        <v>0</v>
      </c>
      <c r="M44" s="8">
        <v>0</v>
      </c>
      <c r="N44" s="8">
        <v>0</v>
      </c>
      <c r="O44" s="8">
        <v>0</v>
      </c>
      <c r="P44" s="8">
        <v>0</v>
      </c>
      <c r="Q44" s="8">
        <v>0</v>
      </c>
      <c r="R44" s="8">
        <v>0</v>
      </c>
      <c r="S44" s="8">
        <v>0</v>
      </c>
      <c r="T44" s="8">
        <v>0</v>
      </c>
      <c r="U44" s="8">
        <v>0</v>
      </c>
      <c r="V44" s="8">
        <v>0</v>
      </c>
      <c r="W44" s="8"/>
      <c r="X44" s="8"/>
      <c r="Y44" s="8"/>
      <c r="Z44" s="8"/>
      <c r="AA44" s="8"/>
      <c r="AB44" s="8"/>
      <c r="AC44" s="8"/>
      <c r="AD44" s="8"/>
      <c r="AE44" s="8"/>
      <c r="AF44" s="8"/>
    </row>
    <row r="45" spans="1:32" s="6" customFormat="1" x14ac:dyDescent="0.25">
      <c r="A45" s="6" t="s">
        <v>209</v>
      </c>
      <c r="B45" s="6" t="s">
        <v>215</v>
      </c>
      <c r="C45" s="39" t="s">
        <v>4</v>
      </c>
      <c r="D45" s="39">
        <v>44</v>
      </c>
      <c r="E45" s="8">
        <v>0</v>
      </c>
      <c r="F45" s="8">
        <v>0</v>
      </c>
      <c r="G45" s="8">
        <v>0</v>
      </c>
      <c r="H45" s="8">
        <v>0</v>
      </c>
      <c r="I45" s="8">
        <v>0</v>
      </c>
      <c r="J45" s="8">
        <v>0</v>
      </c>
      <c r="K45" s="8">
        <v>0</v>
      </c>
      <c r="L45" s="8">
        <v>0</v>
      </c>
      <c r="M45" s="8">
        <v>0</v>
      </c>
      <c r="N45" s="8">
        <v>0</v>
      </c>
      <c r="O45" s="8">
        <v>0</v>
      </c>
      <c r="P45" s="8">
        <v>0</v>
      </c>
      <c r="Q45" s="8">
        <v>0</v>
      </c>
      <c r="R45" s="8">
        <v>0</v>
      </c>
      <c r="S45" s="8">
        <v>0</v>
      </c>
      <c r="T45" s="8">
        <v>0</v>
      </c>
      <c r="U45" s="8">
        <v>0</v>
      </c>
      <c r="V45" s="8">
        <v>0</v>
      </c>
      <c r="W45" s="8"/>
      <c r="X45" s="8"/>
      <c r="Y45" s="8"/>
      <c r="Z45" s="8"/>
      <c r="AA45" s="8"/>
      <c r="AB45" s="8"/>
      <c r="AC45" s="8"/>
      <c r="AD45" s="8"/>
      <c r="AE45" s="8"/>
      <c r="AF45" s="8"/>
    </row>
    <row r="46" spans="1:32" x14ac:dyDescent="0.25">
      <c r="A46" t="s">
        <v>173</v>
      </c>
      <c r="B46" t="s">
        <v>165</v>
      </c>
      <c r="C46" t="s">
        <v>4</v>
      </c>
      <c r="D46">
        <v>1</v>
      </c>
      <c r="E46">
        <v>3772479.7456578198</v>
      </c>
      <c r="F46">
        <v>15772.87205577</v>
      </c>
      <c r="G46">
        <v>109509.62000114399</v>
      </c>
      <c r="H46">
        <v>-49053.006048160998</v>
      </c>
      <c r="I46">
        <v>61213.938391299998</v>
      </c>
      <c r="J46">
        <v>2090.3062394620001</v>
      </c>
      <c r="K46">
        <v>74976.129898622996</v>
      </c>
      <c r="L46">
        <v>18423.362223525</v>
      </c>
      <c r="M46">
        <v>0</v>
      </c>
      <c r="N46">
        <v>0</v>
      </c>
      <c r="O46">
        <v>0</v>
      </c>
      <c r="P46">
        <v>-1609.4931979999999</v>
      </c>
      <c r="Q46">
        <v>-2028.053956704</v>
      </c>
      <c r="R46">
        <v>1094.8733057960001</v>
      </c>
      <c r="S46">
        <v>-47.033514340000004</v>
      </c>
      <c r="T46">
        <v>0</v>
      </c>
      <c r="U46">
        <v>0</v>
      </c>
      <c r="V46">
        <v>0</v>
      </c>
    </row>
    <row r="47" spans="1:32" x14ac:dyDescent="0.25">
      <c r="A47" t="s">
        <v>173</v>
      </c>
      <c r="B47" t="s">
        <v>151</v>
      </c>
      <c r="C47" t="s">
        <v>4</v>
      </c>
      <c r="D47">
        <v>10</v>
      </c>
      <c r="E47">
        <v>221042.44427356499</v>
      </c>
      <c r="F47">
        <v>911.29887243200005</v>
      </c>
      <c r="G47">
        <v>3082.600000248</v>
      </c>
      <c r="H47">
        <v>196.748345476</v>
      </c>
      <c r="I47">
        <v>3853.4592296999999</v>
      </c>
      <c r="J47">
        <v>702.234249998</v>
      </c>
      <c r="K47">
        <v>22219.333460556001</v>
      </c>
      <c r="L47">
        <v>3158.236418</v>
      </c>
      <c r="M47">
        <v>0</v>
      </c>
      <c r="N47">
        <v>2721.337685425</v>
      </c>
      <c r="O47">
        <v>13.298999999999999</v>
      </c>
      <c r="P47">
        <v>-4052.7122342309999</v>
      </c>
      <c r="Q47">
        <v>-1091.6025042220001</v>
      </c>
      <c r="R47">
        <v>192.78937725200001</v>
      </c>
      <c r="S47">
        <v>-24.015200567000001</v>
      </c>
      <c r="T47">
        <v>0</v>
      </c>
      <c r="U47">
        <v>0</v>
      </c>
      <c r="V47">
        <v>0</v>
      </c>
    </row>
    <row r="48" spans="1:32" x14ac:dyDescent="0.25">
      <c r="A48" t="s">
        <v>173</v>
      </c>
      <c r="B48" t="s">
        <v>152</v>
      </c>
      <c r="C48" t="s">
        <v>4</v>
      </c>
      <c r="D48">
        <v>11</v>
      </c>
      <c r="E48">
        <v>172661.85268987401</v>
      </c>
      <c r="F48">
        <v>300.69999323799999</v>
      </c>
      <c r="G48">
        <v>2322.300000144</v>
      </c>
      <c r="H48">
        <v>169.287499978</v>
      </c>
      <c r="I48">
        <v>2864.0233364000001</v>
      </c>
      <c r="J48">
        <v>943.442863096</v>
      </c>
      <c r="K48">
        <v>11992.310157628999</v>
      </c>
      <c r="L48">
        <v>3303.723794</v>
      </c>
      <c r="M48">
        <v>0</v>
      </c>
      <c r="N48">
        <v>0</v>
      </c>
      <c r="O48">
        <v>0</v>
      </c>
      <c r="P48">
        <v>-2206.376204318</v>
      </c>
      <c r="Q48">
        <v>-732.83891230200004</v>
      </c>
      <c r="R48">
        <v>70.114194999000006</v>
      </c>
      <c r="S48">
        <v>1.723111077</v>
      </c>
      <c r="T48">
        <v>0</v>
      </c>
      <c r="U48">
        <v>0</v>
      </c>
      <c r="V48">
        <v>0</v>
      </c>
    </row>
    <row r="49" spans="1:22" x14ac:dyDescent="0.25">
      <c r="A49" t="s">
        <v>173</v>
      </c>
      <c r="B49" t="s">
        <v>153</v>
      </c>
      <c r="C49" t="s">
        <v>4</v>
      </c>
      <c r="D49">
        <v>12</v>
      </c>
      <c r="E49">
        <v>282569.03667302598</v>
      </c>
      <c r="F49">
        <v>2508.380502729</v>
      </c>
      <c r="G49">
        <v>4169.6500002120001</v>
      </c>
      <c r="H49">
        <v>174.94932458900001</v>
      </c>
      <c r="I49">
        <v>4595.7628428999997</v>
      </c>
      <c r="J49">
        <v>379.33703884400001</v>
      </c>
      <c r="K49">
        <v>20939.358295776001</v>
      </c>
      <c r="L49">
        <v>7044.0990938000004</v>
      </c>
      <c r="M49">
        <v>0</v>
      </c>
      <c r="N49">
        <v>0</v>
      </c>
      <c r="O49">
        <v>0</v>
      </c>
      <c r="P49">
        <v>-3622.2558458120002</v>
      </c>
      <c r="Q49">
        <v>-1005.029423883</v>
      </c>
      <c r="R49">
        <v>121.585031499</v>
      </c>
      <c r="S49">
        <v>-29.71162301</v>
      </c>
      <c r="T49">
        <v>0</v>
      </c>
      <c r="U49">
        <v>0</v>
      </c>
      <c r="V49">
        <v>0</v>
      </c>
    </row>
    <row r="50" spans="1:22" x14ac:dyDescent="0.25">
      <c r="A50" t="s">
        <v>173</v>
      </c>
      <c r="B50" t="s">
        <v>154</v>
      </c>
      <c r="C50" t="s">
        <v>4</v>
      </c>
      <c r="D50">
        <v>13</v>
      </c>
      <c r="E50">
        <v>1923759.72931868</v>
      </c>
      <c r="F50">
        <v>-15.662460834000001</v>
      </c>
      <c r="G50">
        <v>53745.100000295999</v>
      </c>
      <c r="H50">
        <v>25.974718359000001</v>
      </c>
      <c r="I50">
        <v>53841.949093000003</v>
      </c>
      <c r="J50">
        <v>512.69378062999999</v>
      </c>
      <c r="K50">
        <v>886.05300600500004</v>
      </c>
      <c r="L50">
        <v>0</v>
      </c>
      <c r="M50">
        <v>0</v>
      </c>
      <c r="N50">
        <v>0</v>
      </c>
      <c r="O50">
        <v>0</v>
      </c>
      <c r="P50">
        <v>0</v>
      </c>
      <c r="Q50">
        <v>62.252754701999997</v>
      </c>
      <c r="R50">
        <v>0</v>
      </c>
      <c r="S50">
        <v>-57.936900854000001</v>
      </c>
      <c r="T50">
        <v>0</v>
      </c>
      <c r="U50">
        <v>0</v>
      </c>
      <c r="V50">
        <v>0</v>
      </c>
    </row>
    <row r="51" spans="1:22" x14ac:dyDescent="0.25">
      <c r="A51" t="s">
        <v>173</v>
      </c>
      <c r="B51" t="s">
        <v>158</v>
      </c>
      <c r="C51" t="s">
        <v>4</v>
      </c>
      <c r="D51">
        <v>14</v>
      </c>
      <c r="E51">
        <v>159889.17742605999</v>
      </c>
      <c r="F51">
        <v>-474.16941317999999</v>
      </c>
      <c r="G51">
        <v>2453.3000001</v>
      </c>
      <c r="H51">
        <v>118.892713292</v>
      </c>
      <c r="I51">
        <v>2769.4981911</v>
      </c>
      <c r="J51">
        <v>214.89336258</v>
      </c>
      <c r="K51">
        <v>7511.3624807249998</v>
      </c>
      <c r="L51">
        <v>0</v>
      </c>
      <c r="M51">
        <v>0</v>
      </c>
      <c r="N51">
        <v>0</v>
      </c>
      <c r="O51">
        <v>0</v>
      </c>
      <c r="P51">
        <v>0</v>
      </c>
      <c r="Q51">
        <v>-561.84981488999995</v>
      </c>
      <c r="R51">
        <v>89.461585752000005</v>
      </c>
      <c r="S51">
        <v>-1.7008940829999999</v>
      </c>
      <c r="T51">
        <v>0</v>
      </c>
      <c r="U51">
        <v>0</v>
      </c>
      <c r="V51">
        <v>0</v>
      </c>
    </row>
    <row r="52" spans="1:22" x14ac:dyDescent="0.25">
      <c r="A52" t="s">
        <v>173</v>
      </c>
      <c r="B52" t="s">
        <v>157</v>
      </c>
      <c r="C52" t="s">
        <v>4</v>
      </c>
      <c r="D52">
        <v>15</v>
      </c>
      <c r="E52">
        <v>91835.286743061006</v>
      </c>
      <c r="F52">
        <v>-167.50134445699999</v>
      </c>
      <c r="G52">
        <v>1544.799999996</v>
      </c>
      <c r="H52">
        <v>-2.6431258149999999</v>
      </c>
      <c r="I52">
        <v>1667.0115668999999</v>
      </c>
      <c r="J52">
        <v>160.26688057300001</v>
      </c>
      <c r="K52">
        <v>4802.591296087</v>
      </c>
      <c r="L52">
        <v>0</v>
      </c>
      <c r="M52">
        <v>0</v>
      </c>
      <c r="N52">
        <v>0</v>
      </c>
      <c r="O52">
        <v>0</v>
      </c>
      <c r="P52">
        <v>0</v>
      </c>
      <c r="Q52">
        <v>-244.505853648</v>
      </c>
      <c r="R52">
        <v>85.652092499000005</v>
      </c>
      <c r="S52">
        <v>-7.4470752129999997</v>
      </c>
      <c r="T52">
        <v>0</v>
      </c>
      <c r="U52">
        <v>0</v>
      </c>
      <c r="V52">
        <v>0</v>
      </c>
    </row>
    <row r="53" spans="1:22" x14ac:dyDescent="0.25">
      <c r="A53" t="s">
        <v>173</v>
      </c>
      <c r="B53" t="s">
        <v>156</v>
      </c>
      <c r="C53" t="s">
        <v>4</v>
      </c>
      <c r="D53">
        <v>16</v>
      </c>
      <c r="E53">
        <v>281850.48978752003</v>
      </c>
      <c r="F53">
        <v>-732.45647464900003</v>
      </c>
      <c r="G53">
        <v>5034.8900003159997</v>
      </c>
      <c r="H53">
        <v>-6.44770822</v>
      </c>
      <c r="I53">
        <v>5271.6311531000001</v>
      </c>
      <c r="J53">
        <v>473.55386325699999</v>
      </c>
      <c r="K53">
        <v>2244.8581425319999</v>
      </c>
      <c r="L53">
        <v>0</v>
      </c>
      <c r="M53">
        <v>0</v>
      </c>
      <c r="N53">
        <v>0</v>
      </c>
      <c r="O53">
        <v>0</v>
      </c>
      <c r="P53">
        <v>0</v>
      </c>
      <c r="Q53">
        <v>-895.393216284</v>
      </c>
      <c r="R53">
        <v>208.36753038399999</v>
      </c>
      <c r="S53">
        <v>-40.182074323999998</v>
      </c>
      <c r="T53">
        <v>0</v>
      </c>
      <c r="U53">
        <v>0</v>
      </c>
      <c r="V53">
        <v>0</v>
      </c>
    </row>
    <row r="54" spans="1:22" x14ac:dyDescent="0.25">
      <c r="A54" t="s">
        <v>173</v>
      </c>
      <c r="B54" t="s">
        <v>155</v>
      </c>
      <c r="C54" t="s">
        <v>4</v>
      </c>
      <c r="D54">
        <v>17</v>
      </c>
      <c r="E54">
        <v>74014.325933258995</v>
      </c>
      <c r="F54">
        <v>-133.214449892</v>
      </c>
      <c r="G54">
        <v>948.50000013600004</v>
      </c>
      <c r="H54">
        <v>18.772083357</v>
      </c>
      <c r="I54">
        <v>1290.7126985</v>
      </c>
      <c r="J54">
        <v>324.21780801300002</v>
      </c>
      <c r="K54">
        <v>10223.858103602999</v>
      </c>
      <c r="L54">
        <v>0</v>
      </c>
      <c r="M54">
        <v>0</v>
      </c>
      <c r="N54">
        <v>0</v>
      </c>
      <c r="O54">
        <v>0</v>
      </c>
      <c r="P54">
        <v>0</v>
      </c>
      <c r="Q54">
        <v>-133.03216028400001</v>
      </c>
      <c r="R54">
        <v>0</v>
      </c>
      <c r="S54">
        <v>-0.10305946000000001</v>
      </c>
      <c r="T54">
        <v>0</v>
      </c>
      <c r="U54">
        <v>0</v>
      </c>
      <c r="V54">
        <v>0</v>
      </c>
    </row>
    <row r="55" spans="1:22" x14ac:dyDescent="0.25">
      <c r="A55" t="s">
        <v>173</v>
      </c>
      <c r="B55" t="s">
        <v>160</v>
      </c>
      <c r="C55" t="s">
        <v>4</v>
      </c>
      <c r="D55">
        <v>18</v>
      </c>
      <c r="E55">
        <v>154934.64237078099</v>
      </c>
      <c r="F55">
        <v>1310.64836216</v>
      </c>
      <c r="G55">
        <v>2012.85</v>
      </c>
      <c r="H55">
        <v>-151.805206078</v>
      </c>
      <c r="I55">
        <v>2095.6951174999999</v>
      </c>
      <c r="J55">
        <v>245.16180752</v>
      </c>
      <c r="K55">
        <v>23247.304549578999</v>
      </c>
      <c r="L55">
        <v>1488.7913805000001</v>
      </c>
      <c r="M55">
        <v>0</v>
      </c>
      <c r="N55">
        <v>0</v>
      </c>
      <c r="O55">
        <v>0</v>
      </c>
      <c r="P55">
        <v>-14.466531946</v>
      </c>
      <c r="Q55">
        <v>-521.94816629100001</v>
      </c>
      <c r="R55">
        <v>360.53790920400002</v>
      </c>
      <c r="S55">
        <v>-1.7623294169999999</v>
      </c>
      <c r="T55">
        <v>0</v>
      </c>
      <c r="U55">
        <v>0</v>
      </c>
      <c r="V55">
        <v>0</v>
      </c>
    </row>
    <row r="56" spans="1:22" x14ac:dyDescent="0.25">
      <c r="A56" t="s">
        <v>173</v>
      </c>
      <c r="B56" t="s">
        <v>162</v>
      </c>
      <c r="C56" t="s">
        <v>4</v>
      </c>
      <c r="D56">
        <v>19</v>
      </c>
      <c r="E56">
        <v>160690.50262578201</v>
      </c>
      <c r="F56">
        <v>29814.289995337</v>
      </c>
      <c r="G56">
        <v>1677.7299998880001</v>
      </c>
      <c r="H56">
        <v>-347.70168589799999</v>
      </c>
      <c r="I56">
        <v>1552.1330449</v>
      </c>
      <c r="J56">
        <v>302.48198223200001</v>
      </c>
      <c r="K56">
        <v>18755.507365738002</v>
      </c>
      <c r="L56">
        <v>28552.382189299999</v>
      </c>
      <c r="M56">
        <v>0</v>
      </c>
      <c r="N56">
        <v>0</v>
      </c>
      <c r="O56">
        <v>0</v>
      </c>
      <c r="P56">
        <v>-9363.7404635950006</v>
      </c>
      <c r="Q56">
        <v>-291.06454984800001</v>
      </c>
      <c r="R56">
        <v>2062.5786690989999</v>
      </c>
      <c r="S56">
        <v>-6.3446186569999998</v>
      </c>
      <c r="T56">
        <v>0</v>
      </c>
      <c r="U56">
        <v>0</v>
      </c>
      <c r="V56">
        <v>8860.4793177930005</v>
      </c>
    </row>
    <row r="57" spans="1:22" x14ac:dyDescent="0.25">
      <c r="A57" t="s">
        <v>173</v>
      </c>
      <c r="B57" t="s">
        <v>146</v>
      </c>
      <c r="C57" t="s">
        <v>4</v>
      </c>
      <c r="D57">
        <v>2</v>
      </c>
      <c r="E57">
        <v>105900.33265907899</v>
      </c>
      <c r="F57">
        <v>118867.245609836</v>
      </c>
      <c r="G57">
        <v>0</v>
      </c>
      <c r="H57">
        <v>1822.724347223</v>
      </c>
      <c r="I57">
        <v>1839.7832082</v>
      </c>
      <c r="J57">
        <v>28.798821418999999</v>
      </c>
      <c r="K57">
        <v>488.54453230199999</v>
      </c>
      <c r="L57">
        <v>0.315</v>
      </c>
      <c r="M57">
        <v>118931.398994125</v>
      </c>
      <c r="N57">
        <v>0</v>
      </c>
      <c r="O57">
        <v>0</v>
      </c>
      <c r="P57">
        <v>-61.740243458000002</v>
      </c>
      <c r="Q57">
        <v>0</v>
      </c>
      <c r="R57">
        <v>0</v>
      </c>
      <c r="S57">
        <v>-2.7281408310000002</v>
      </c>
      <c r="T57">
        <v>0</v>
      </c>
      <c r="U57">
        <v>0</v>
      </c>
      <c r="V57">
        <v>0</v>
      </c>
    </row>
    <row r="58" spans="1:22" x14ac:dyDescent="0.25">
      <c r="A58" t="s">
        <v>173</v>
      </c>
      <c r="B58" t="s">
        <v>159</v>
      </c>
      <c r="C58" t="s">
        <v>4</v>
      </c>
      <c r="D58">
        <v>20</v>
      </c>
      <c r="E58">
        <v>73808.084510617002</v>
      </c>
      <c r="F58">
        <v>-41.714324607999998</v>
      </c>
      <c r="G58">
        <v>987.80000011200002</v>
      </c>
      <c r="H58">
        <v>108.662500022</v>
      </c>
      <c r="I58">
        <v>1196.4815068</v>
      </c>
      <c r="J58">
        <v>98.363529001000003</v>
      </c>
      <c r="K58">
        <v>4556.3032888280004</v>
      </c>
      <c r="L58">
        <v>0</v>
      </c>
      <c r="M58">
        <v>0</v>
      </c>
      <c r="N58">
        <v>0</v>
      </c>
      <c r="O58">
        <v>0</v>
      </c>
      <c r="P58">
        <v>0</v>
      </c>
      <c r="Q58">
        <v>-45.473602237000001</v>
      </c>
      <c r="R58">
        <v>3.766095</v>
      </c>
      <c r="S58">
        <v>-6.817371E-3</v>
      </c>
      <c r="T58">
        <v>0</v>
      </c>
      <c r="U58">
        <v>0</v>
      </c>
      <c r="V58">
        <v>0</v>
      </c>
    </row>
    <row r="59" spans="1:22" x14ac:dyDescent="0.25">
      <c r="A59" t="s">
        <v>173</v>
      </c>
      <c r="B59" t="s">
        <v>161</v>
      </c>
      <c r="C59" t="s">
        <v>4</v>
      </c>
      <c r="D59">
        <v>21</v>
      </c>
      <c r="E59">
        <v>123688.24752370099</v>
      </c>
      <c r="F59">
        <v>45727.418942142001</v>
      </c>
      <c r="G59">
        <v>1518.229999956</v>
      </c>
      <c r="H59">
        <v>-39.323318962000002</v>
      </c>
      <c r="I59">
        <v>1468.739632</v>
      </c>
      <c r="J59">
        <v>198.637103696</v>
      </c>
      <c r="K59">
        <v>201.23836577200001</v>
      </c>
      <c r="L59">
        <v>47770.622177450001</v>
      </c>
      <c r="M59">
        <v>975.8500143</v>
      </c>
      <c r="N59">
        <v>0</v>
      </c>
      <c r="O59">
        <v>0</v>
      </c>
      <c r="P59">
        <v>-3669.6452532859998</v>
      </c>
      <c r="Q59">
        <v>-11.186969553999999</v>
      </c>
      <c r="R59">
        <v>694.33122247300003</v>
      </c>
      <c r="S59">
        <v>-30.287878388999999</v>
      </c>
      <c r="T59">
        <v>0</v>
      </c>
      <c r="U59">
        <v>0</v>
      </c>
      <c r="V59">
        <v>0</v>
      </c>
    </row>
    <row r="60" spans="1:22" x14ac:dyDescent="0.25">
      <c r="A60" t="s">
        <v>173</v>
      </c>
      <c r="B60" t="s">
        <v>164</v>
      </c>
      <c r="C60" t="s">
        <v>4</v>
      </c>
      <c r="D60">
        <v>22</v>
      </c>
      <c r="E60">
        <v>1696678.24050827</v>
      </c>
      <c r="F60">
        <v>-3886.459952492</v>
      </c>
      <c r="G60">
        <v>29204.849999964001</v>
      </c>
      <c r="H60">
        <v>-194.24527131299999</v>
      </c>
      <c r="I60">
        <v>30370.0072186</v>
      </c>
      <c r="J60">
        <v>2794.5543008730001</v>
      </c>
      <c r="K60">
        <v>48124.324330609998</v>
      </c>
      <c r="L60">
        <v>0</v>
      </c>
      <c r="M60">
        <v>0</v>
      </c>
      <c r="N60">
        <v>0</v>
      </c>
      <c r="O60">
        <v>0</v>
      </c>
      <c r="P60">
        <v>0</v>
      </c>
      <c r="Q60">
        <v>-4019.667298675</v>
      </c>
      <c r="R60">
        <v>445.85244080699999</v>
      </c>
      <c r="S60">
        <v>-256.51433624600003</v>
      </c>
      <c r="T60">
        <v>0</v>
      </c>
      <c r="U60">
        <v>0</v>
      </c>
      <c r="V60">
        <v>0</v>
      </c>
    </row>
    <row r="61" spans="1:22" x14ac:dyDescent="0.25">
      <c r="A61" t="s">
        <v>173</v>
      </c>
      <c r="B61" t="s">
        <v>169</v>
      </c>
      <c r="C61" t="s">
        <v>4</v>
      </c>
      <c r="D61">
        <v>23</v>
      </c>
      <c r="E61">
        <v>3037275.8068792098</v>
      </c>
      <c r="F61">
        <v>33959.415648463997</v>
      </c>
      <c r="G61">
        <v>75212.059999692006</v>
      </c>
      <c r="H61">
        <v>-6375.8170298240002</v>
      </c>
      <c r="I61">
        <v>70004.660600200004</v>
      </c>
      <c r="J61">
        <v>1798.0170132830001</v>
      </c>
      <c r="K61">
        <v>77716.836849419997</v>
      </c>
      <c r="L61">
        <v>32350.20986205</v>
      </c>
      <c r="M61">
        <v>0</v>
      </c>
      <c r="N61">
        <v>9497.7082948749994</v>
      </c>
      <c r="O61">
        <v>672.92520460000003</v>
      </c>
      <c r="P61">
        <v>-2190.4010778699999</v>
      </c>
      <c r="Q61">
        <v>-6271.340132409</v>
      </c>
      <c r="R61">
        <v>0</v>
      </c>
      <c r="S61">
        <v>-57.126238938999997</v>
      </c>
      <c r="T61">
        <v>0</v>
      </c>
      <c r="U61">
        <v>0</v>
      </c>
      <c r="V61">
        <v>0</v>
      </c>
    </row>
    <row r="62" spans="1:22" x14ac:dyDescent="0.25">
      <c r="A62" t="s">
        <v>173</v>
      </c>
      <c r="B62" t="s">
        <v>170</v>
      </c>
      <c r="C62" t="s">
        <v>4</v>
      </c>
      <c r="D62">
        <v>24</v>
      </c>
      <c r="E62">
        <v>198107.65060557699</v>
      </c>
      <c r="F62">
        <v>-701.92833416799999</v>
      </c>
      <c r="G62">
        <v>2903.8000003560001</v>
      </c>
      <c r="H62">
        <v>68.889583423000005</v>
      </c>
      <c r="I62">
        <v>3318.8195357</v>
      </c>
      <c r="J62">
        <v>346.41463973999998</v>
      </c>
      <c r="K62">
        <v>16571.422457887002</v>
      </c>
      <c r="L62">
        <v>0</v>
      </c>
      <c r="M62">
        <v>0</v>
      </c>
      <c r="N62">
        <v>0</v>
      </c>
      <c r="O62">
        <v>0</v>
      </c>
      <c r="P62">
        <v>0</v>
      </c>
      <c r="Q62">
        <v>-738.33049555900004</v>
      </c>
      <c r="R62">
        <v>36.468934500000003</v>
      </c>
      <c r="S62">
        <v>0.28051715399999999</v>
      </c>
      <c r="T62">
        <v>0</v>
      </c>
      <c r="U62">
        <v>0</v>
      </c>
      <c r="V62">
        <v>0</v>
      </c>
    </row>
    <row r="63" spans="1:22" x14ac:dyDescent="0.25">
      <c r="A63" t="s">
        <v>173</v>
      </c>
      <c r="B63" t="s">
        <v>171</v>
      </c>
      <c r="C63" t="s">
        <v>4</v>
      </c>
      <c r="D63">
        <v>25</v>
      </c>
      <c r="E63">
        <v>686571.929533166</v>
      </c>
      <c r="F63">
        <v>-2282.5348466280002</v>
      </c>
      <c r="G63">
        <v>13815.400000644</v>
      </c>
      <c r="H63">
        <v>-66.606041247999997</v>
      </c>
      <c r="I63">
        <v>14636.456707400001</v>
      </c>
      <c r="J63">
        <v>1073.4534779959999</v>
      </c>
      <c r="K63">
        <v>28784.024345963</v>
      </c>
      <c r="L63">
        <v>0</v>
      </c>
      <c r="M63">
        <v>0</v>
      </c>
      <c r="N63">
        <v>0</v>
      </c>
      <c r="O63">
        <v>0</v>
      </c>
      <c r="P63">
        <v>0</v>
      </c>
      <c r="Q63">
        <v>-2271.6557941619999</v>
      </c>
      <c r="R63">
        <v>30.607667085999999</v>
      </c>
      <c r="S63">
        <v>-27.491888781</v>
      </c>
      <c r="T63">
        <v>0</v>
      </c>
      <c r="U63">
        <v>0</v>
      </c>
      <c r="V63">
        <v>0</v>
      </c>
    </row>
    <row r="64" spans="1:22" x14ac:dyDescent="0.25">
      <c r="A64" t="s">
        <v>173</v>
      </c>
      <c r="B64" t="s">
        <v>172</v>
      </c>
      <c r="C64" t="s">
        <v>4</v>
      </c>
      <c r="D64">
        <v>26</v>
      </c>
      <c r="E64">
        <v>196852.942822882</v>
      </c>
      <c r="F64">
        <v>-652.88009951799995</v>
      </c>
      <c r="G64">
        <v>2898.7000001040001</v>
      </c>
      <c r="H64">
        <v>58.308333388999998</v>
      </c>
      <c r="I64">
        <v>3290.9745610999998</v>
      </c>
      <c r="J64">
        <v>339.13665120000002</v>
      </c>
      <c r="K64">
        <v>16229.197992961999</v>
      </c>
      <c r="L64">
        <v>0</v>
      </c>
      <c r="M64">
        <v>0</v>
      </c>
      <c r="N64">
        <v>0</v>
      </c>
      <c r="O64">
        <v>0</v>
      </c>
      <c r="P64">
        <v>0</v>
      </c>
      <c r="Q64">
        <v>-680.92736404799996</v>
      </c>
      <c r="R64">
        <v>29.259980499000001</v>
      </c>
      <c r="S64">
        <v>-1.212715969</v>
      </c>
      <c r="T64">
        <v>0</v>
      </c>
      <c r="U64">
        <v>0</v>
      </c>
      <c r="V64">
        <v>0</v>
      </c>
    </row>
    <row r="65" spans="1:22" x14ac:dyDescent="0.25">
      <c r="A65" t="s">
        <v>173</v>
      </c>
      <c r="B65" t="s">
        <v>135</v>
      </c>
      <c r="C65" t="s">
        <v>4</v>
      </c>
      <c r="D65">
        <v>27</v>
      </c>
      <c r="E65">
        <v>56953.664785808003</v>
      </c>
      <c r="F65">
        <v>20466.093751483</v>
      </c>
      <c r="G65">
        <v>749.03000007599996</v>
      </c>
      <c r="H65">
        <v>-217.65375899399999</v>
      </c>
      <c r="I65">
        <v>558.22576319999996</v>
      </c>
      <c r="J65">
        <v>62.637841418000001</v>
      </c>
      <c r="K65">
        <v>3065.267967068</v>
      </c>
      <c r="L65">
        <v>16081.2268277</v>
      </c>
      <c r="M65">
        <v>0</v>
      </c>
      <c r="N65">
        <v>0</v>
      </c>
      <c r="O65">
        <v>0</v>
      </c>
      <c r="P65">
        <v>-717.40952722300005</v>
      </c>
      <c r="Q65">
        <v>-276.74024637299999</v>
      </c>
      <c r="R65">
        <v>0</v>
      </c>
      <c r="S65">
        <v>-8.3941027649999995</v>
      </c>
      <c r="T65">
        <v>0</v>
      </c>
      <c r="U65">
        <v>0</v>
      </c>
      <c r="V65">
        <v>5387.4108001439999</v>
      </c>
    </row>
    <row r="66" spans="1:22" x14ac:dyDescent="0.25">
      <c r="A66" t="s">
        <v>173</v>
      </c>
      <c r="B66" t="s">
        <v>136</v>
      </c>
      <c r="C66" t="s">
        <v>4</v>
      </c>
      <c r="D66">
        <v>28</v>
      </c>
      <c r="E66">
        <v>50816.198646757002</v>
      </c>
      <c r="F66">
        <v>18406.576676051998</v>
      </c>
      <c r="G66">
        <v>672.20000010000001</v>
      </c>
      <c r="H66">
        <v>-230.21000734500001</v>
      </c>
      <c r="I66">
        <v>462.31959510000002</v>
      </c>
      <c r="J66">
        <v>36.860523043000001</v>
      </c>
      <c r="K66">
        <v>3131.1994445619998</v>
      </c>
      <c r="L66">
        <v>14461.041735000001</v>
      </c>
      <c r="M66">
        <v>0</v>
      </c>
      <c r="N66">
        <v>0</v>
      </c>
      <c r="O66">
        <v>0</v>
      </c>
      <c r="P66">
        <v>-1032.504461927</v>
      </c>
      <c r="Q66">
        <v>-218.91709745700001</v>
      </c>
      <c r="R66">
        <v>0</v>
      </c>
      <c r="S66">
        <v>-3.8006674020000002</v>
      </c>
      <c r="T66">
        <v>0</v>
      </c>
      <c r="U66">
        <v>0</v>
      </c>
      <c r="V66">
        <v>5200.8338054289998</v>
      </c>
    </row>
    <row r="67" spans="1:22" x14ac:dyDescent="0.25">
      <c r="A67" t="s">
        <v>173</v>
      </c>
      <c r="B67" t="s">
        <v>137</v>
      </c>
      <c r="C67" t="s">
        <v>4</v>
      </c>
      <c r="D67">
        <v>29</v>
      </c>
      <c r="E67">
        <v>85718.653398905997</v>
      </c>
      <c r="F67">
        <v>23880.268361507999</v>
      </c>
      <c r="G67">
        <v>1357.6200001320001</v>
      </c>
      <c r="H67">
        <v>-400.16792053199998</v>
      </c>
      <c r="I67">
        <v>1036.7345373999999</v>
      </c>
      <c r="J67">
        <v>103.926831976</v>
      </c>
      <c r="K67">
        <v>363.17671240300001</v>
      </c>
      <c r="L67">
        <v>18584.5151506</v>
      </c>
      <c r="M67">
        <v>0</v>
      </c>
      <c r="N67">
        <v>0</v>
      </c>
      <c r="O67">
        <v>0</v>
      </c>
      <c r="P67">
        <v>-576.20874500699995</v>
      </c>
      <c r="Q67">
        <v>-166.68762681300001</v>
      </c>
      <c r="R67">
        <v>447.11995999800001</v>
      </c>
      <c r="S67">
        <v>-5.779940463</v>
      </c>
      <c r="T67">
        <v>0</v>
      </c>
      <c r="U67">
        <v>0</v>
      </c>
      <c r="V67">
        <v>5597.3099269730001</v>
      </c>
    </row>
    <row r="68" spans="1:22" x14ac:dyDescent="0.25">
      <c r="A68" t="s">
        <v>173</v>
      </c>
      <c r="B68" t="s">
        <v>147</v>
      </c>
      <c r="C68" t="s">
        <v>4</v>
      </c>
      <c r="D68">
        <v>3</v>
      </c>
      <c r="E68">
        <v>105934.21134522</v>
      </c>
      <c r="F68">
        <v>117326.173410523</v>
      </c>
      <c r="G68">
        <v>0</v>
      </c>
      <c r="H68">
        <v>1820.5651736120001</v>
      </c>
      <c r="I68">
        <v>1840.6887872</v>
      </c>
      <c r="J68">
        <v>30.165060403999998</v>
      </c>
      <c r="K68">
        <v>577.33110967699997</v>
      </c>
      <c r="L68">
        <v>0</v>
      </c>
      <c r="M68">
        <v>117460.79434515</v>
      </c>
      <c r="N68">
        <v>0</v>
      </c>
      <c r="O68">
        <v>0</v>
      </c>
      <c r="P68">
        <v>-132.29085563699999</v>
      </c>
      <c r="Q68">
        <v>0</v>
      </c>
      <c r="R68">
        <v>0</v>
      </c>
      <c r="S68">
        <v>-2.3300789900000001</v>
      </c>
      <c r="T68">
        <v>0</v>
      </c>
      <c r="U68">
        <v>0</v>
      </c>
      <c r="V68">
        <v>0</v>
      </c>
    </row>
    <row r="69" spans="1:22" x14ac:dyDescent="0.25">
      <c r="A69" t="s">
        <v>173</v>
      </c>
      <c r="B69" t="s">
        <v>138</v>
      </c>
      <c r="C69" t="s">
        <v>4</v>
      </c>
      <c r="D69">
        <v>30</v>
      </c>
      <c r="E69">
        <v>99844.282518677996</v>
      </c>
      <c r="F69">
        <v>25283.697151785</v>
      </c>
      <c r="G69">
        <v>1402.350000144</v>
      </c>
      <c r="H69">
        <v>-376.65979552800002</v>
      </c>
      <c r="I69">
        <v>1114.2058761999999</v>
      </c>
      <c r="J69">
        <v>98.273895400000001</v>
      </c>
      <c r="K69">
        <v>7769.204779402</v>
      </c>
      <c r="L69">
        <v>20106.915951499999</v>
      </c>
      <c r="M69">
        <v>0</v>
      </c>
      <c r="N69">
        <v>0</v>
      </c>
      <c r="O69">
        <v>0</v>
      </c>
      <c r="P69">
        <v>-697.45062365000001</v>
      </c>
      <c r="Q69">
        <v>157.72126433700001</v>
      </c>
      <c r="R69">
        <v>121.48941000000001</v>
      </c>
      <c r="S69">
        <v>-2.288678703</v>
      </c>
      <c r="T69">
        <v>0</v>
      </c>
      <c r="U69">
        <v>0</v>
      </c>
      <c r="V69">
        <v>5597.3099269730001</v>
      </c>
    </row>
    <row r="70" spans="1:22" x14ac:dyDescent="0.25">
      <c r="A70" t="s">
        <v>173</v>
      </c>
      <c r="B70" t="s">
        <v>139</v>
      </c>
      <c r="C70" t="s">
        <v>4</v>
      </c>
      <c r="D70">
        <v>31</v>
      </c>
      <c r="E70">
        <v>114176.558386427</v>
      </c>
      <c r="F70">
        <v>26645.166346424001</v>
      </c>
      <c r="G70">
        <v>1480.8800001479999</v>
      </c>
      <c r="H70">
        <v>-322.13667571500002</v>
      </c>
      <c r="I70">
        <v>1248.9985551</v>
      </c>
      <c r="J70">
        <v>110.734829354</v>
      </c>
      <c r="K70">
        <v>4576.8108338149996</v>
      </c>
      <c r="L70">
        <v>21400.1079684</v>
      </c>
      <c r="M70">
        <v>0</v>
      </c>
      <c r="N70">
        <v>0</v>
      </c>
      <c r="O70">
        <v>0</v>
      </c>
      <c r="P70">
        <v>-603.43689786599998</v>
      </c>
      <c r="Q70">
        <v>-316.81946931099998</v>
      </c>
      <c r="R70">
        <v>572.78046000100005</v>
      </c>
      <c r="S70">
        <v>-2.9009774560000001</v>
      </c>
      <c r="T70">
        <v>0</v>
      </c>
      <c r="U70">
        <v>0</v>
      </c>
      <c r="V70">
        <v>5597.3099269730001</v>
      </c>
    </row>
    <row r="71" spans="1:22" x14ac:dyDescent="0.25">
      <c r="A71" t="s">
        <v>173</v>
      </c>
      <c r="B71" t="s">
        <v>140</v>
      </c>
      <c r="C71" t="s">
        <v>4</v>
      </c>
      <c r="D71">
        <v>32</v>
      </c>
      <c r="E71">
        <v>144824.21313931199</v>
      </c>
      <c r="F71">
        <v>17642.452835573</v>
      </c>
      <c r="G71">
        <v>3403.6100005799999</v>
      </c>
      <c r="H71">
        <v>-1881.513146147</v>
      </c>
      <c r="I71">
        <v>1592.858592</v>
      </c>
      <c r="J71">
        <v>160.49306735299999</v>
      </c>
      <c r="K71">
        <v>11.322391603</v>
      </c>
      <c r="L71">
        <v>12799.852521425</v>
      </c>
      <c r="M71">
        <v>0</v>
      </c>
      <c r="N71">
        <v>0</v>
      </c>
      <c r="O71">
        <v>0</v>
      </c>
      <c r="P71">
        <v>-389.36378473100001</v>
      </c>
      <c r="Q71">
        <v>-529.49753600500003</v>
      </c>
      <c r="R71">
        <v>821.93256254200003</v>
      </c>
      <c r="S71">
        <v>-17.674495541999999</v>
      </c>
      <c r="T71">
        <v>0</v>
      </c>
      <c r="U71">
        <v>0</v>
      </c>
      <c r="V71">
        <v>4960.5392882320002</v>
      </c>
    </row>
    <row r="72" spans="1:22" x14ac:dyDescent="0.25">
      <c r="A72" t="s">
        <v>173</v>
      </c>
      <c r="B72" t="s">
        <v>141</v>
      </c>
      <c r="C72" t="s">
        <v>4</v>
      </c>
      <c r="D72">
        <v>33</v>
      </c>
      <c r="E72">
        <v>53155.408221072998</v>
      </c>
      <c r="F72">
        <v>6622.5525453299997</v>
      </c>
      <c r="G72">
        <v>3246.8800005480002</v>
      </c>
      <c r="H72">
        <v>-2166.267500291</v>
      </c>
      <c r="I72">
        <v>1113.2619970000001</v>
      </c>
      <c r="J72">
        <v>142.131580173</v>
      </c>
      <c r="K72">
        <v>4619.9687368699997</v>
      </c>
      <c r="L72">
        <v>7607.7061673999997</v>
      </c>
      <c r="M72">
        <v>0</v>
      </c>
      <c r="N72">
        <v>0</v>
      </c>
      <c r="O72">
        <v>0</v>
      </c>
      <c r="P72">
        <v>-802.52891598300005</v>
      </c>
      <c r="Q72">
        <v>-254.55503411999999</v>
      </c>
      <c r="R72">
        <v>97.609205501999995</v>
      </c>
      <c r="S72">
        <v>-23.719721703000001</v>
      </c>
      <c r="T72">
        <v>0</v>
      </c>
      <c r="U72">
        <v>0</v>
      </c>
      <c r="V72">
        <v>0</v>
      </c>
    </row>
    <row r="73" spans="1:22" x14ac:dyDescent="0.25">
      <c r="A73" t="s">
        <v>173</v>
      </c>
      <c r="B73" t="s">
        <v>142</v>
      </c>
      <c r="C73" t="s">
        <v>4</v>
      </c>
      <c r="D73">
        <v>34</v>
      </c>
      <c r="E73">
        <v>100627.625881663</v>
      </c>
      <c r="F73">
        <v>22988.941559714</v>
      </c>
      <c r="G73">
        <v>636.82000012799995</v>
      </c>
      <c r="H73">
        <v>551.036477354</v>
      </c>
      <c r="I73">
        <v>1291.2275500999999</v>
      </c>
      <c r="J73">
        <v>164.058246642</v>
      </c>
      <c r="K73">
        <v>10134.415796423</v>
      </c>
      <c r="L73">
        <v>19862.392761075</v>
      </c>
      <c r="M73">
        <v>0</v>
      </c>
      <c r="N73">
        <v>0</v>
      </c>
      <c r="O73">
        <v>0</v>
      </c>
      <c r="P73">
        <v>-875.60630413299998</v>
      </c>
      <c r="Q73">
        <v>-298.49710826900002</v>
      </c>
      <c r="R73">
        <v>1216.9893525289999</v>
      </c>
      <c r="S73">
        <v>-12.782483681</v>
      </c>
      <c r="T73">
        <v>0</v>
      </c>
      <c r="U73">
        <v>0</v>
      </c>
      <c r="V73">
        <v>3096.4877851669999</v>
      </c>
    </row>
    <row r="74" spans="1:22" x14ac:dyDescent="0.25">
      <c r="A74" t="s">
        <v>173</v>
      </c>
      <c r="B74" t="s">
        <v>143</v>
      </c>
      <c r="C74" t="s">
        <v>4</v>
      </c>
      <c r="D74">
        <v>35</v>
      </c>
      <c r="E74">
        <v>148783.655004222</v>
      </c>
      <c r="F74">
        <v>4207.5681393490004</v>
      </c>
      <c r="G74">
        <v>4416.2200003919997</v>
      </c>
      <c r="H74">
        <v>-2961.8020984660002</v>
      </c>
      <c r="I74">
        <v>1653.7079458999999</v>
      </c>
      <c r="J74">
        <v>221.68159013600001</v>
      </c>
      <c r="K74">
        <v>8487.8798027150006</v>
      </c>
      <c r="L74">
        <v>4138.8089932250004</v>
      </c>
      <c r="M74">
        <v>0</v>
      </c>
      <c r="N74">
        <v>0</v>
      </c>
      <c r="O74">
        <v>0</v>
      </c>
      <c r="P74">
        <v>-694.87352179699997</v>
      </c>
      <c r="Q74">
        <v>612.86104396500002</v>
      </c>
      <c r="R74">
        <v>155.70886424700001</v>
      </c>
      <c r="S74">
        <v>-0.74767478700000001</v>
      </c>
      <c r="T74">
        <v>0</v>
      </c>
      <c r="U74">
        <v>0</v>
      </c>
      <c r="V74">
        <v>0</v>
      </c>
    </row>
    <row r="75" spans="1:22" x14ac:dyDescent="0.25">
      <c r="A75" t="s">
        <v>173</v>
      </c>
      <c r="B75" t="s">
        <v>144</v>
      </c>
      <c r="C75" t="s">
        <v>4</v>
      </c>
      <c r="D75">
        <v>36</v>
      </c>
      <c r="E75">
        <v>135015.824846995</v>
      </c>
      <c r="F75">
        <v>3531.05767457</v>
      </c>
      <c r="G75">
        <v>4400.5000004760004</v>
      </c>
      <c r="H75">
        <v>-3068.0491980930001</v>
      </c>
      <c r="I75">
        <v>1470.1595427</v>
      </c>
      <c r="J75">
        <v>190.97151230200001</v>
      </c>
      <c r="K75">
        <v>2465.2751728160001</v>
      </c>
      <c r="L75">
        <v>3037.8226500750002</v>
      </c>
      <c r="M75">
        <v>0</v>
      </c>
      <c r="N75">
        <v>0</v>
      </c>
      <c r="O75">
        <v>0</v>
      </c>
      <c r="P75">
        <v>-416.84484609100002</v>
      </c>
      <c r="Q75">
        <v>859.70827163599995</v>
      </c>
      <c r="R75">
        <v>62.7363024</v>
      </c>
      <c r="S75">
        <v>-7.084565295</v>
      </c>
      <c r="T75">
        <v>0</v>
      </c>
      <c r="U75">
        <v>0</v>
      </c>
      <c r="V75">
        <v>0</v>
      </c>
    </row>
    <row r="76" spans="1:22" x14ac:dyDescent="0.25">
      <c r="A76" t="s">
        <v>173</v>
      </c>
      <c r="B76" t="s">
        <v>145</v>
      </c>
      <c r="C76" t="s">
        <v>4</v>
      </c>
      <c r="D76">
        <v>37</v>
      </c>
      <c r="E76">
        <v>266586.76407628198</v>
      </c>
      <c r="F76">
        <v>1549.7864478690001</v>
      </c>
      <c r="G76">
        <v>4943.2900013999997</v>
      </c>
      <c r="H76">
        <v>-535.02166696899997</v>
      </c>
      <c r="I76">
        <v>4852.9830805000001</v>
      </c>
      <c r="J76">
        <v>697.37380405800002</v>
      </c>
      <c r="K76">
        <v>10635.956705838</v>
      </c>
      <c r="L76">
        <v>0</v>
      </c>
      <c r="M76">
        <v>0</v>
      </c>
      <c r="N76">
        <v>0</v>
      </c>
      <c r="O76">
        <v>0</v>
      </c>
      <c r="P76">
        <v>0</v>
      </c>
      <c r="Q76">
        <v>-739.14066634000005</v>
      </c>
      <c r="R76">
        <v>2346.2515361589999</v>
      </c>
      <c r="S76">
        <v>-35.759094652000002</v>
      </c>
      <c r="T76">
        <v>0</v>
      </c>
      <c r="U76">
        <v>0</v>
      </c>
      <c r="V76">
        <v>0</v>
      </c>
    </row>
    <row r="77" spans="1:22" x14ac:dyDescent="0.25">
      <c r="A77" t="s">
        <v>174</v>
      </c>
      <c r="B77" t="s">
        <v>150</v>
      </c>
      <c r="C77" t="s">
        <v>4</v>
      </c>
      <c r="D77">
        <v>38</v>
      </c>
      <c r="E77">
        <v>0</v>
      </c>
      <c r="F77">
        <v>0</v>
      </c>
      <c r="G77">
        <v>0</v>
      </c>
      <c r="H77">
        <v>0</v>
      </c>
      <c r="I77">
        <v>0</v>
      </c>
      <c r="J77">
        <v>0</v>
      </c>
      <c r="K77">
        <v>0</v>
      </c>
      <c r="L77">
        <v>0</v>
      </c>
      <c r="M77">
        <v>0</v>
      </c>
      <c r="N77">
        <v>0</v>
      </c>
      <c r="O77">
        <v>0</v>
      </c>
      <c r="P77">
        <v>0</v>
      </c>
      <c r="Q77">
        <v>0</v>
      </c>
      <c r="R77">
        <v>0</v>
      </c>
      <c r="S77">
        <v>0</v>
      </c>
      <c r="T77">
        <v>0</v>
      </c>
      <c r="U77">
        <v>0</v>
      </c>
      <c r="V77">
        <v>0</v>
      </c>
    </row>
    <row r="78" spans="1:22" x14ac:dyDescent="0.25">
      <c r="A78" t="s">
        <v>175</v>
      </c>
      <c r="B78" t="s">
        <v>167</v>
      </c>
      <c r="C78" t="s">
        <v>4</v>
      </c>
      <c r="D78">
        <v>39</v>
      </c>
      <c r="E78">
        <v>6719986.5491192602</v>
      </c>
      <c r="F78">
        <v>29031.067652572001</v>
      </c>
      <c r="G78">
        <v>124136.150000172</v>
      </c>
      <c r="H78">
        <v>-7294.1604526170004</v>
      </c>
      <c r="I78">
        <v>131498.70652199999</v>
      </c>
      <c r="J78">
        <v>16685.735004858001</v>
      </c>
      <c r="K78">
        <v>514405.13297138701</v>
      </c>
      <c r="L78">
        <v>21926.976264925001</v>
      </c>
      <c r="M78">
        <v>0</v>
      </c>
      <c r="N78">
        <v>57.0396225</v>
      </c>
      <c r="O78">
        <v>966.54369999999994</v>
      </c>
      <c r="P78">
        <v>-4871.735687206</v>
      </c>
      <c r="Q78">
        <v>-27930.436251719999</v>
      </c>
      <c r="R78">
        <v>3220.4166010489998</v>
      </c>
      <c r="S78">
        <v>-384.240514937</v>
      </c>
      <c r="T78">
        <v>0</v>
      </c>
      <c r="U78">
        <v>0</v>
      </c>
      <c r="V78">
        <v>36076.619307451001</v>
      </c>
    </row>
    <row r="79" spans="1:22" x14ac:dyDescent="0.25">
      <c r="A79" t="s">
        <v>173</v>
      </c>
      <c r="B79" t="s">
        <v>148</v>
      </c>
      <c r="C79" t="s">
        <v>4</v>
      </c>
      <c r="D79">
        <v>4</v>
      </c>
      <c r="E79">
        <v>0</v>
      </c>
      <c r="F79">
        <v>111036.658604375</v>
      </c>
      <c r="G79">
        <v>0</v>
      </c>
      <c r="H79">
        <v>0</v>
      </c>
      <c r="I79">
        <v>0</v>
      </c>
      <c r="J79">
        <v>0</v>
      </c>
      <c r="K79">
        <v>0</v>
      </c>
      <c r="L79">
        <v>0</v>
      </c>
      <c r="M79">
        <v>111534.043796575</v>
      </c>
      <c r="N79">
        <v>0</v>
      </c>
      <c r="O79">
        <v>0</v>
      </c>
      <c r="P79">
        <v>-14.669991542</v>
      </c>
      <c r="Q79">
        <v>0</v>
      </c>
      <c r="R79">
        <v>0</v>
      </c>
      <c r="S79">
        <v>0</v>
      </c>
      <c r="T79">
        <v>0</v>
      </c>
      <c r="U79">
        <v>0</v>
      </c>
      <c r="V79">
        <v>-482.71520065800001</v>
      </c>
    </row>
    <row r="80" spans="1:22" x14ac:dyDescent="0.25">
      <c r="A80" t="s">
        <v>175</v>
      </c>
      <c r="B80" t="s">
        <v>168</v>
      </c>
      <c r="C80" t="s">
        <v>4</v>
      </c>
      <c r="D80">
        <v>40</v>
      </c>
      <c r="E80">
        <v>4097124.35594839</v>
      </c>
      <c r="F80">
        <v>173638.50664492801</v>
      </c>
      <c r="G80">
        <v>85053.969999995999</v>
      </c>
      <c r="H80">
        <v>-1096.0857417970001</v>
      </c>
      <c r="I80">
        <v>90787.479000000007</v>
      </c>
      <c r="J80">
        <v>7293.1972427600003</v>
      </c>
      <c r="K80">
        <v>252458.498351071</v>
      </c>
      <c r="L80">
        <v>153043.40304142499</v>
      </c>
      <c r="M80">
        <v>0</v>
      </c>
      <c r="N80">
        <v>0</v>
      </c>
      <c r="O80">
        <v>0</v>
      </c>
      <c r="P80">
        <v>-11334.428013069</v>
      </c>
      <c r="Q80">
        <v>-10429.655709455001</v>
      </c>
      <c r="R80">
        <v>10291.715384517</v>
      </c>
      <c r="S80">
        <v>-34.682600893</v>
      </c>
      <c r="T80">
        <v>0</v>
      </c>
      <c r="U80">
        <v>0</v>
      </c>
      <c r="V80">
        <v>32104.614232417</v>
      </c>
    </row>
    <row r="81" spans="1:22" x14ac:dyDescent="0.25">
      <c r="A81" t="s">
        <v>209</v>
      </c>
      <c r="B81" t="s">
        <v>214</v>
      </c>
      <c r="C81" t="s">
        <v>4</v>
      </c>
      <c r="D81">
        <v>41</v>
      </c>
      <c r="E81">
        <v>1173359.6960351099</v>
      </c>
      <c r="F81">
        <v>-635.47872694499995</v>
      </c>
      <c r="G81">
        <v>23676.800000015999</v>
      </c>
      <c r="H81">
        <v>3421.1929519360001</v>
      </c>
      <c r="I81">
        <v>28735.812000000002</v>
      </c>
      <c r="J81">
        <v>2672.5233423519999</v>
      </c>
      <c r="K81">
        <v>30269.896094426</v>
      </c>
      <c r="L81">
        <v>0</v>
      </c>
      <c r="M81">
        <v>0</v>
      </c>
      <c r="N81">
        <v>0</v>
      </c>
      <c r="O81">
        <v>0</v>
      </c>
      <c r="P81">
        <v>0</v>
      </c>
      <c r="Q81">
        <v>-394.90003190900001</v>
      </c>
      <c r="R81">
        <v>0</v>
      </c>
      <c r="S81">
        <v>-74.654616422999993</v>
      </c>
      <c r="T81">
        <v>0</v>
      </c>
      <c r="U81">
        <v>0</v>
      </c>
      <c r="V81">
        <v>0</v>
      </c>
    </row>
    <row r="82" spans="1:22" x14ac:dyDescent="0.25">
      <c r="A82" t="s">
        <v>209</v>
      </c>
      <c r="B82" t="s">
        <v>216</v>
      </c>
      <c r="C82" t="s">
        <v>4</v>
      </c>
      <c r="D82">
        <v>42</v>
      </c>
      <c r="E82">
        <v>5801009.9553068997</v>
      </c>
      <c r="F82">
        <v>-1397.4291064930001</v>
      </c>
      <c r="G82">
        <v>161058.93999874801</v>
      </c>
      <c r="H82">
        <v>-10090.632263187001</v>
      </c>
      <c r="I82">
        <v>150364.98755379999</v>
      </c>
      <c r="J82">
        <v>9695.8570224790001</v>
      </c>
      <c r="K82">
        <v>566385.82741427503</v>
      </c>
      <c r="L82">
        <v>0</v>
      </c>
      <c r="M82">
        <v>0</v>
      </c>
      <c r="N82">
        <v>0</v>
      </c>
      <c r="O82">
        <v>0</v>
      </c>
      <c r="P82">
        <v>0</v>
      </c>
      <c r="Q82">
        <v>470.47658123600002</v>
      </c>
      <c r="R82">
        <v>0</v>
      </c>
      <c r="S82">
        <v>-983.42503132800005</v>
      </c>
      <c r="T82">
        <v>0</v>
      </c>
      <c r="U82">
        <v>0</v>
      </c>
      <c r="V82">
        <v>0</v>
      </c>
    </row>
    <row r="83" spans="1:22" x14ac:dyDescent="0.25">
      <c r="A83" t="s">
        <v>209</v>
      </c>
      <c r="B83" t="s">
        <v>217</v>
      </c>
      <c r="C83" t="s">
        <v>4</v>
      </c>
      <c r="D83">
        <v>43</v>
      </c>
      <c r="E83">
        <v>712051.48651977</v>
      </c>
      <c r="F83">
        <v>-225.543006983</v>
      </c>
      <c r="G83">
        <v>19110.399999996</v>
      </c>
      <c r="H83">
        <v>-15.835102671</v>
      </c>
      <c r="I83">
        <v>19048.615499832002</v>
      </c>
      <c r="J83">
        <v>757.96123807100003</v>
      </c>
      <c r="K83">
        <v>-640.58465585900001</v>
      </c>
      <c r="L83">
        <v>0</v>
      </c>
      <c r="M83">
        <v>0</v>
      </c>
      <c r="N83">
        <v>0</v>
      </c>
      <c r="O83">
        <v>0</v>
      </c>
      <c r="P83">
        <v>0</v>
      </c>
      <c r="Q83">
        <v>-80.282972489000002</v>
      </c>
      <c r="R83">
        <v>0</v>
      </c>
      <c r="S83">
        <v>60.308891039000002</v>
      </c>
      <c r="T83">
        <v>0</v>
      </c>
      <c r="U83">
        <v>0</v>
      </c>
      <c r="V83">
        <v>0</v>
      </c>
    </row>
    <row r="84" spans="1:22" x14ac:dyDescent="0.25">
      <c r="A84" t="s">
        <v>209</v>
      </c>
      <c r="B84" t="s">
        <v>215</v>
      </c>
      <c r="C84" t="s">
        <v>4</v>
      </c>
      <c r="D84">
        <v>44</v>
      </c>
      <c r="E84">
        <v>136994.43812383999</v>
      </c>
      <c r="F84">
        <v>-62.720230911999998</v>
      </c>
      <c r="G84">
        <v>2074.0000015199998</v>
      </c>
      <c r="H84">
        <v>100.606288296</v>
      </c>
      <c r="I84">
        <v>3603.462998772</v>
      </c>
      <c r="J84">
        <v>1714.7602749350001</v>
      </c>
      <c r="K84">
        <v>56762.328576460997</v>
      </c>
      <c r="L84">
        <v>0</v>
      </c>
      <c r="M84">
        <v>0</v>
      </c>
      <c r="N84">
        <v>0</v>
      </c>
      <c r="O84">
        <v>0</v>
      </c>
      <c r="P84">
        <v>0</v>
      </c>
      <c r="Q84">
        <v>-6.134597383</v>
      </c>
      <c r="R84">
        <v>0</v>
      </c>
      <c r="S84">
        <v>-42.714858810999999</v>
      </c>
      <c r="T84">
        <v>0</v>
      </c>
      <c r="U84">
        <v>0</v>
      </c>
      <c r="V84">
        <v>0</v>
      </c>
    </row>
    <row r="85" spans="1:22" x14ac:dyDescent="0.25">
      <c r="A85" t="s">
        <v>173</v>
      </c>
      <c r="B85" t="s">
        <v>149</v>
      </c>
      <c r="C85" t="s">
        <v>4</v>
      </c>
      <c r="D85">
        <v>5</v>
      </c>
      <c r="E85">
        <v>0</v>
      </c>
      <c r="F85">
        <v>109006.908007743</v>
      </c>
      <c r="G85">
        <v>0</v>
      </c>
      <c r="H85">
        <v>0</v>
      </c>
      <c r="I85">
        <v>0</v>
      </c>
      <c r="J85">
        <v>0</v>
      </c>
      <c r="K85">
        <v>0</v>
      </c>
      <c r="L85">
        <v>0</v>
      </c>
      <c r="M85">
        <v>111005.633007025</v>
      </c>
      <c r="N85">
        <v>0</v>
      </c>
      <c r="O85">
        <v>0</v>
      </c>
      <c r="P85">
        <v>-18.647154508</v>
      </c>
      <c r="Q85">
        <v>0</v>
      </c>
      <c r="R85">
        <v>0</v>
      </c>
      <c r="S85">
        <v>0</v>
      </c>
      <c r="T85">
        <v>0</v>
      </c>
      <c r="U85">
        <v>0</v>
      </c>
      <c r="V85">
        <v>-1980.0778447739999</v>
      </c>
    </row>
    <row r="86" spans="1:22" x14ac:dyDescent="0.25">
      <c r="A86" t="s">
        <v>173</v>
      </c>
      <c r="B86" t="s">
        <v>166</v>
      </c>
      <c r="C86" t="s">
        <v>4</v>
      </c>
      <c r="D86">
        <v>6</v>
      </c>
      <c r="E86">
        <v>260225.25569016501</v>
      </c>
      <c r="F86">
        <v>51785.173375525002</v>
      </c>
      <c r="G86">
        <v>1497.360000036</v>
      </c>
      <c r="H86">
        <v>2731.571458379</v>
      </c>
      <c r="I86">
        <v>4227.9775754000002</v>
      </c>
      <c r="J86">
        <v>91.657727656999995</v>
      </c>
      <c r="K86">
        <v>-3841.161917246</v>
      </c>
      <c r="L86">
        <v>0</v>
      </c>
      <c r="M86">
        <v>57001.0854865</v>
      </c>
      <c r="N86">
        <v>0</v>
      </c>
      <c r="O86">
        <v>0</v>
      </c>
      <c r="P86">
        <v>-4443.8298888139998</v>
      </c>
      <c r="Q86">
        <v>-937.91139185099996</v>
      </c>
      <c r="R86">
        <v>184.38307785000001</v>
      </c>
      <c r="S86">
        <v>-9.9122093049999993</v>
      </c>
      <c r="T86">
        <v>0</v>
      </c>
      <c r="U86">
        <v>0</v>
      </c>
      <c r="V86">
        <v>0</v>
      </c>
    </row>
    <row r="87" spans="1:22" x14ac:dyDescent="0.25">
      <c r="A87" t="s">
        <v>173</v>
      </c>
      <c r="B87" t="s">
        <v>163</v>
      </c>
      <c r="C87" t="s">
        <v>4</v>
      </c>
      <c r="D87">
        <v>7</v>
      </c>
      <c r="E87">
        <v>1079017.9167700401</v>
      </c>
      <c r="F87">
        <v>148166.85406828899</v>
      </c>
      <c r="G87">
        <v>18108.36000036</v>
      </c>
      <c r="H87">
        <v>-1445.4010173470001</v>
      </c>
      <c r="I87">
        <v>17068.402936999999</v>
      </c>
      <c r="J87">
        <v>808.85713016900002</v>
      </c>
      <c r="K87">
        <v>10582.88196984</v>
      </c>
      <c r="L87">
        <v>136657.368142725</v>
      </c>
      <c r="M87">
        <v>3.2690000000000001</v>
      </c>
      <c r="N87">
        <v>0</v>
      </c>
      <c r="O87">
        <v>0</v>
      </c>
      <c r="P87">
        <v>-4468.7118000999999</v>
      </c>
      <c r="Q87">
        <v>-6175.0361108489997</v>
      </c>
      <c r="R87">
        <v>14219.354757335001</v>
      </c>
      <c r="S87">
        <v>-33.856619438999999</v>
      </c>
      <c r="T87">
        <v>0</v>
      </c>
      <c r="U87">
        <v>0</v>
      </c>
      <c r="V87">
        <v>7996.157339499</v>
      </c>
    </row>
    <row r="88" spans="1:22" x14ac:dyDescent="0.25">
      <c r="A88" t="s">
        <v>173</v>
      </c>
      <c r="B88" t="s">
        <v>134</v>
      </c>
      <c r="C88" t="s">
        <v>4</v>
      </c>
      <c r="D88">
        <v>8</v>
      </c>
      <c r="E88">
        <v>121622.174354378</v>
      </c>
      <c r="F88">
        <v>-27.615755737000001</v>
      </c>
      <c r="G88">
        <v>1220.1099999959999</v>
      </c>
      <c r="H88">
        <v>568.57666542699997</v>
      </c>
      <c r="I88">
        <v>2003.8373723</v>
      </c>
      <c r="J88">
        <v>246.441851945</v>
      </c>
      <c r="K88">
        <v>7260.0183731850002</v>
      </c>
      <c r="L88">
        <v>0</v>
      </c>
      <c r="M88">
        <v>0</v>
      </c>
      <c r="N88">
        <v>0</v>
      </c>
      <c r="O88">
        <v>0</v>
      </c>
      <c r="P88">
        <v>0</v>
      </c>
      <c r="Q88">
        <v>-290.82455778899998</v>
      </c>
      <c r="R88">
        <v>270.47455227400002</v>
      </c>
      <c r="S88">
        <v>-6.7401283879999996</v>
      </c>
      <c r="T88">
        <v>0</v>
      </c>
      <c r="U88">
        <v>0</v>
      </c>
      <c r="V88">
        <v>0</v>
      </c>
    </row>
    <row r="89" spans="1:22" x14ac:dyDescent="0.25">
      <c r="A89" t="s">
        <v>173</v>
      </c>
      <c r="B89" t="s">
        <v>133</v>
      </c>
      <c r="C89" t="s">
        <v>4</v>
      </c>
      <c r="D89">
        <v>9</v>
      </c>
      <c r="E89">
        <v>126036.113332509</v>
      </c>
      <c r="F89">
        <v>13420.383214109001</v>
      </c>
      <c r="G89">
        <v>3165.120000552</v>
      </c>
      <c r="H89">
        <v>-1995.58459064</v>
      </c>
      <c r="I89">
        <v>1233.4836310999999</v>
      </c>
      <c r="J89">
        <v>82.091046689999999</v>
      </c>
      <c r="K89">
        <v>5049.9054442460001</v>
      </c>
      <c r="L89">
        <v>9642.6290788499991</v>
      </c>
      <c r="M89">
        <v>0</v>
      </c>
      <c r="N89">
        <v>0</v>
      </c>
      <c r="O89">
        <v>0</v>
      </c>
      <c r="P89">
        <v>-1239.784340162</v>
      </c>
      <c r="Q89">
        <v>-519.02347007900005</v>
      </c>
      <c r="R89">
        <v>293.25387624799998</v>
      </c>
      <c r="S89">
        <v>-3.8725930179999999</v>
      </c>
      <c r="T89">
        <v>0</v>
      </c>
      <c r="U89">
        <v>0</v>
      </c>
      <c r="V89">
        <v>5247.4779763670003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02"/>
  <sheetViews>
    <sheetView topLeftCell="A16" workbookViewId="0">
      <selection activeCell="B42" sqref="B42:B45"/>
    </sheetView>
  </sheetViews>
  <sheetFormatPr defaultRowHeight="15" x14ac:dyDescent="0.25"/>
  <cols>
    <col min="1" max="1" width="18.7109375" style="37" bestFit="1" customWidth="1"/>
    <col min="2" max="2" width="35.140625" style="37" bestFit="1" customWidth="1"/>
    <col min="3" max="3" width="14" style="37" bestFit="1" customWidth="1"/>
    <col min="4" max="4" width="7.5703125" style="37" bestFit="1" customWidth="1"/>
    <col min="5" max="5" width="5.140625" style="37" bestFit="1" customWidth="1"/>
    <col min="6" max="7" width="6.5703125" style="37" bestFit="1" customWidth="1"/>
    <col min="8" max="8" width="9.140625" style="6"/>
    <col min="9" max="9" width="70.140625" style="6" bestFit="1" customWidth="1"/>
    <col min="10" max="10" width="25.85546875" style="6" customWidth="1"/>
    <col min="11" max="16384" width="9.140625" style="6"/>
  </cols>
  <sheetData>
    <row r="1" spans="1:10" x14ac:dyDescent="0.25">
      <c r="A1" s="35" t="s">
        <v>49</v>
      </c>
      <c r="B1" s="35" t="s">
        <v>50</v>
      </c>
      <c r="C1" s="35" t="s">
        <v>51</v>
      </c>
      <c r="D1" s="35" t="s">
        <v>52</v>
      </c>
      <c r="E1" s="35" t="s">
        <v>53</v>
      </c>
      <c r="F1" s="35" t="s">
        <v>32</v>
      </c>
      <c r="G1" s="35" t="s">
        <v>54</v>
      </c>
      <c r="I1" s="36" t="s">
        <v>55</v>
      </c>
      <c r="J1" s="36" t="s">
        <v>55</v>
      </c>
    </row>
    <row r="2" spans="1:10" x14ac:dyDescent="0.25">
      <c r="A2" s="6" t="s">
        <v>125</v>
      </c>
      <c r="B2" s="6" t="s">
        <v>165</v>
      </c>
      <c r="C2" s="6" t="s">
        <v>173</v>
      </c>
      <c r="D2" s="39">
        <v>1</v>
      </c>
      <c r="E2" s="39"/>
      <c r="F2" s="39">
        <v>401</v>
      </c>
      <c r="G2" s="37" t="s">
        <v>57</v>
      </c>
      <c r="I2" s="6" t="str">
        <f>"WHEN resource_name = '"&amp;A2&amp;"' THEN '"&amp;D2&amp;"'"</f>
        <v>WHEN resource_name = 'PNCHEG_2_PL1X4' THEN '1'</v>
      </c>
      <c r="J2" s="6" t="str">
        <f t="shared" ref="J2:J45" si="0">" '"&amp;A2&amp;"', "</f>
        <v xml:space="preserve"> 'PNCHEG_2_PL1X4', </v>
      </c>
    </row>
    <row r="3" spans="1:10" x14ac:dyDescent="0.25">
      <c r="A3" s="6" t="s">
        <v>106</v>
      </c>
      <c r="B3" s="6" t="s">
        <v>146</v>
      </c>
      <c r="C3" s="6" t="s">
        <v>173</v>
      </c>
      <c r="D3" s="39">
        <v>2</v>
      </c>
      <c r="E3" s="39"/>
      <c r="F3" s="39">
        <v>204.2</v>
      </c>
      <c r="G3" s="37" t="s">
        <v>57</v>
      </c>
      <c r="I3" s="6" t="str">
        <f t="shared" ref="I3:I41" si="1">"WHEN resource_name = '"&amp;A3&amp;"' THEN '"&amp;D3&amp;"'"</f>
        <v>WHEN resource_name = 'COCOPP_2_CTG1' THEN '2'</v>
      </c>
      <c r="J3" s="6" t="str">
        <f t="shared" si="0"/>
        <v xml:space="preserve"> 'COCOPP_2_CTG1', </v>
      </c>
    </row>
    <row r="4" spans="1:10" x14ac:dyDescent="0.25">
      <c r="A4" s="6" t="s">
        <v>107</v>
      </c>
      <c r="B4" s="6" t="s">
        <v>147</v>
      </c>
      <c r="C4" s="6" t="s">
        <v>173</v>
      </c>
      <c r="D4" s="39">
        <v>3</v>
      </c>
      <c r="E4" s="39"/>
      <c r="F4" s="39">
        <v>202.7</v>
      </c>
      <c r="G4" s="37" t="s">
        <v>57</v>
      </c>
      <c r="I4" s="6" t="str">
        <f t="shared" si="1"/>
        <v>WHEN resource_name = 'COCOPP_2_CTG2' THEN '3'</v>
      </c>
      <c r="J4" s="6" t="str">
        <f t="shared" si="0"/>
        <v xml:space="preserve"> 'COCOPP_2_CTG2', </v>
      </c>
    </row>
    <row r="5" spans="1:10" x14ac:dyDescent="0.25">
      <c r="A5" s="6" t="s">
        <v>108</v>
      </c>
      <c r="B5" s="6" t="s">
        <v>148</v>
      </c>
      <c r="C5" s="6" t="s">
        <v>173</v>
      </c>
      <c r="D5" s="39">
        <v>4</v>
      </c>
      <c r="E5" s="39"/>
      <c r="F5" s="39">
        <v>208.96</v>
      </c>
      <c r="G5" s="37" t="s">
        <v>57</v>
      </c>
      <c r="I5" s="6" t="str">
        <f t="shared" si="1"/>
        <v>WHEN resource_name = 'COCOPP_2_CTG3' THEN '4'</v>
      </c>
      <c r="J5" s="6" t="str">
        <f t="shared" si="0"/>
        <v xml:space="preserve"> 'COCOPP_2_CTG3', </v>
      </c>
    </row>
    <row r="6" spans="1:10" x14ac:dyDescent="0.25">
      <c r="A6" s="6" t="s">
        <v>109</v>
      </c>
      <c r="B6" s="6" t="s">
        <v>149</v>
      </c>
      <c r="C6" s="6" t="s">
        <v>173</v>
      </c>
      <c r="D6" s="39">
        <v>5</v>
      </c>
      <c r="E6" s="39"/>
      <c r="F6" s="39">
        <v>204.29</v>
      </c>
      <c r="G6" s="37" t="s">
        <v>57</v>
      </c>
      <c r="I6" s="6" t="str">
        <f t="shared" si="1"/>
        <v>WHEN resource_name = 'COCOPP_2_CTG4' THEN '5'</v>
      </c>
      <c r="J6" s="6" t="str">
        <f t="shared" si="0"/>
        <v xml:space="preserve"> 'COCOPP_2_CTG4', </v>
      </c>
    </row>
    <row r="7" spans="1:10" x14ac:dyDescent="0.25">
      <c r="A7" s="6" t="s">
        <v>126</v>
      </c>
      <c r="B7" s="6" t="s">
        <v>166</v>
      </c>
      <c r="C7" s="6" t="s">
        <v>173</v>
      </c>
      <c r="D7" s="39">
        <v>6</v>
      </c>
      <c r="E7" s="39"/>
      <c r="F7" s="39">
        <v>248</v>
      </c>
      <c r="G7" s="37" t="s">
        <v>57</v>
      </c>
      <c r="I7" s="6" t="str">
        <f t="shared" si="1"/>
        <v>WHEN resource_name = 'PNCHPP_1_PL1X2' THEN '6'</v>
      </c>
      <c r="J7" s="6" t="str">
        <f t="shared" si="0"/>
        <v xml:space="preserve"> 'PNCHPP_1_PL1X2', </v>
      </c>
    </row>
    <row r="8" spans="1:10" x14ac:dyDescent="0.25">
      <c r="A8" s="6" t="s">
        <v>123</v>
      </c>
      <c r="B8" s="6" t="s">
        <v>163</v>
      </c>
      <c r="C8" s="6" t="s">
        <v>173</v>
      </c>
      <c r="D8" s="39">
        <v>7</v>
      </c>
      <c r="E8" s="39"/>
      <c r="F8" s="39">
        <v>198.03</v>
      </c>
      <c r="G8" s="37" t="s">
        <v>57</v>
      </c>
      <c r="I8" s="6" t="str">
        <f t="shared" si="1"/>
        <v>WHEN resource_name = 'KELSO_2_UNITS' THEN '7'</v>
      </c>
      <c r="J8" s="6" t="str">
        <f t="shared" si="0"/>
        <v xml:space="preserve"> 'KELSO_2_UNITS', </v>
      </c>
    </row>
    <row r="9" spans="1:10" x14ac:dyDescent="0.25">
      <c r="A9" s="6" t="s">
        <v>94</v>
      </c>
      <c r="B9" s="6" t="s">
        <v>134</v>
      </c>
      <c r="C9" s="6" t="s">
        <v>173</v>
      </c>
      <c r="D9" s="39">
        <v>8</v>
      </c>
      <c r="E9" s="39"/>
      <c r="F9" s="39">
        <v>49.2</v>
      </c>
      <c r="G9" s="37" t="s">
        <v>57</v>
      </c>
      <c r="I9" s="6" t="str">
        <f t="shared" si="1"/>
        <v>WHEN resource_name = 'GRNLF1_1_UNITS' THEN '8'</v>
      </c>
      <c r="J9" s="6" t="str">
        <f t="shared" si="0"/>
        <v xml:space="preserve"> 'GRNLF1_1_UNITS', </v>
      </c>
    </row>
    <row r="10" spans="1:10" x14ac:dyDescent="0.25">
      <c r="A10" s="6" t="s">
        <v>93</v>
      </c>
      <c r="B10" s="6" t="s">
        <v>133</v>
      </c>
      <c r="C10" s="6" t="s">
        <v>173</v>
      </c>
      <c r="D10" s="39">
        <v>9</v>
      </c>
      <c r="E10" s="39"/>
      <c r="F10" s="39">
        <v>46.3</v>
      </c>
      <c r="G10" s="37" t="s">
        <v>57</v>
      </c>
      <c r="I10" s="6" t="str">
        <f t="shared" si="1"/>
        <v>WHEN resource_name = 'BOGUE_1_UNITA1' THEN '9'</v>
      </c>
      <c r="J10" s="6" t="str">
        <f t="shared" si="0"/>
        <v xml:space="preserve"> 'BOGUE_1_UNITA1', </v>
      </c>
    </row>
    <row r="11" spans="1:10" x14ac:dyDescent="0.25">
      <c r="A11" s="6" t="s">
        <v>111</v>
      </c>
      <c r="B11" s="6" t="s">
        <v>151</v>
      </c>
      <c r="C11" s="6" t="s">
        <v>173</v>
      </c>
      <c r="D11" s="39">
        <v>10</v>
      </c>
      <c r="E11" s="39"/>
      <c r="F11" s="39">
        <v>78</v>
      </c>
      <c r="G11" s="37" t="s">
        <v>57</v>
      </c>
      <c r="I11" s="6" t="str">
        <f t="shared" si="1"/>
        <v>WHEN resource_name = 'OMAR_2_UNIT 1' THEN '10'</v>
      </c>
      <c r="J11" s="6" t="str">
        <f t="shared" si="0"/>
        <v xml:space="preserve"> 'OMAR_2_UNIT 1', </v>
      </c>
    </row>
    <row r="12" spans="1:10" x14ac:dyDescent="0.25">
      <c r="A12" s="6" t="s">
        <v>112</v>
      </c>
      <c r="B12" s="6" t="s">
        <v>152</v>
      </c>
      <c r="C12" s="6" t="s">
        <v>173</v>
      </c>
      <c r="D12" s="39">
        <v>11</v>
      </c>
      <c r="E12" s="39"/>
      <c r="F12" s="39">
        <v>78.11</v>
      </c>
      <c r="G12" s="37" t="s">
        <v>57</v>
      </c>
      <c r="I12" s="6" t="str">
        <f t="shared" si="1"/>
        <v>WHEN resource_name = 'OMAR_2_UNIT 2' THEN '11'</v>
      </c>
      <c r="J12" s="6" t="str">
        <f t="shared" si="0"/>
        <v xml:space="preserve"> 'OMAR_2_UNIT 2', </v>
      </c>
    </row>
    <row r="13" spans="1:10" x14ac:dyDescent="0.25">
      <c r="A13" s="6" t="s">
        <v>113</v>
      </c>
      <c r="B13" s="6" t="s">
        <v>153</v>
      </c>
      <c r="C13" s="6" t="s">
        <v>173</v>
      </c>
      <c r="D13" s="39">
        <v>12</v>
      </c>
      <c r="E13" s="39"/>
      <c r="F13" s="39">
        <v>81.41</v>
      </c>
      <c r="G13" s="37" t="s">
        <v>57</v>
      </c>
      <c r="I13" s="6" t="str">
        <f t="shared" si="1"/>
        <v>WHEN resource_name = 'OMAR_2_UNIT 3' THEN '12'</v>
      </c>
      <c r="J13" s="6" t="str">
        <f t="shared" si="0"/>
        <v xml:space="preserve"> 'OMAR_2_UNIT 3', </v>
      </c>
    </row>
    <row r="14" spans="1:10" x14ac:dyDescent="0.25">
      <c r="A14" s="6" t="s">
        <v>114</v>
      </c>
      <c r="B14" s="6" t="s">
        <v>154</v>
      </c>
      <c r="C14" s="6" t="s">
        <v>173</v>
      </c>
      <c r="D14" s="39">
        <v>13</v>
      </c>
      <c r="E14" s="39"/>
      <c r="F14" s="39">
        <v>81.44</v>
      </c>
      <c r="G14" s="37" t="s">
        <v>57</v>
      </c>
      <c r="I14" s="6" t="str">
        <f t="shared" si="1"/>
        <v>WHEN resource_name = 'OMAR_2_UNIT 4' THEN '13'</v>
      </c>
      <c r="J14" s="6" t="str">
        <f t="shared" si="0"/>
        <v xml:space="preserve"> 'OMAR_2_UNIT 4', </v>
      </c>
    </row>
    <row r="15" spans="1:10" x14ac:dyDescent="0.25">
      <c r="A15" s="6" t="s">
        <v>118</v>
      </c>
      <c r="B15" s="6" t="s">
        <v>158</v>
      </c>
      <c r="C15" s="6" t="s">
        <v>173</v>
      </c>
      <c r="D15" s="39">
        <v>14</v>
      </c>
      <c r="E15" s="39"/>
      <c r="F15" s="39">
        <v>49.7</v>
      </c>
      <c r="G15" s="37" t="s">
        <v>57</v>
      </c>
      <c r="I15" s="6" t="str">
        <f t="shared" si="1"/>
        <v>WHEN resource_name = 'LIVOAK_1_UNIT 1' THEN '14'</v>
      </c>
      <c r="J15" s="6" t="str">
        <f t="shared" si="0"/>
        <v xml:space="preserve"> 'LIVOAK_1_UNIT 1', </v>
      </c>
    </row>
    <row r="16" spans="1:10" x14ac:dyDescent="0.25">
      <c r="A16" s="6" t="s">
        <v>117</v>
      </c>
      <c r="B16" s="6" t="s">
        <v>157</v>
      </c>
      <c r="C16" s="6" t="s">
        <v>173</v>
      </c>
      <c r="D16" s="39">
        <v>15</v>
      </c>
      <c r="E16" s="39"/>
      <c r="F16" s="39">
        <v>48.67</v>
      </c>
      <c r="G16" s="37" t="s">
        <v>57</v>
      </c>
      <c r="I16" s="6" t="str">
        <f t="shared" si="1"/>
        <v>WHEN resource_name = 'CHALK_1_UNIT' THEN '15'</v>
      </c>
      <c r="J16" s="6" t="str">
        <f t="shared" si="0"/>
        <v xml:space="preserve"> 'CHALK_1_UNIT', </v>
      </c>
    </row>
    <row r="17" spans="1:10" x14ac:dyDescent="0.25">
      <c r="A17" s="6" t="s">
        <v>116</v>
      </c>
      <c r="B17" s="6" t="s">
        <v>156</v>
      </c>
      <c r="C17" s="6" t="s">
        <v>173</v>
      </c>
      <c r="D17" s="39">
        <v>16</v>
      </c>
      <c r="E17" s="39"/>
      <c r="F17" s="39">
        <v>49.21</v>
      </c>
      <c r="G17" s="37" t="s">
        <v>57</v>
      </c>
      <c r="I17" s="6" t="str">
        <f t="shared" si="1"/>
        <v>WHEN resource_name = 'BEARMT_1_UNIT' THEN '16'</v>
      </c>
      <c r="J17" s="6" t="str">
        <f t="shared" si="0"/>
        <v xml:space="preserve"> 'BEARMT_1_UNIT', </v>
      </c>
    </row>
    <row r="18" spans="1:10" x14ac:dyDescent="0.25">
      <c r="A18" s="6" t="s">
        <v>115</v>
      </c>
      <c r="B18" s="6" t="s">
        <v>155</v>
      </c>
      <c r="C18" s="6" t="s">
        <v>173</v>
      </c>
      <c r="D18" s="39">
        <v>17</v>
      </c>
      <c r="E18" s="39"/>
      <c r="F18" s="39">
        <v>48.08</v>
      </c>
      <c r="G18" s="37" t="s">
        <v>57</v>
      </c>
      <c r="I18" s="6" t="str">
        <f t="shared" si="1"/>
        <v>WHEN resource_name = 'BDGRCK_1_UNITS' THEN '17'</v>
      </c>
      <c r="J18" s="6" t="str">
        <f t="shared" si="0"/>
        <v xml:space="preserve"> 'BDGRCK_1_UNITS', </v>
      </c>
    </row>
    <row r="19" spans="1:10" x14ac:dyDescent="0.25">
      <c r="A19" s="6" t="s">
        <v>120</v>
      </c>
      <c r="B19" s="6" t="s">
        <v>160</v>
      </c>
      <c r="C19" s="6" t="s">
        <v>173</v>
      </c>
      <c r="D19" s="39">
        <v>18</v>
      </c>
      <c r="E19" s="39"/>
      <c r="F19" s="39">
        <v>46.05</v>
      </c>
      <c r="G19" s="37" t="s">
        <v>57</v>
      </c>
      <c r="I19" s="6" t="str">
        <f t="shared" si="1"/>
        <v>WHEN resource_name = 'SMPRIP_1_SMPSON' THEN '18'</v>
      </c>
      <c r="J19" s="6" t="str">
        <f t="shared" si="0"/>
        <v xml:space="preserve"> 'SMPRIP_1_SMPSON', </v>
      </c>
    </row>
    <row r="20" spans="1:10" x14ac:dyDescent="0.25">
      <c r="A20" s="6" t="s">
        <v>122</v>
      </c>
      <c r="B20" s="6" t="s">
        <v>162</v>
      </c>
      <c r="C20" s="6" t="s">
        <v>173</v>
      </c>
      <c r="D20" s="39">
        <v>19</v>
      </c>
      <c r="E20" s="39"/>
      <c r="F20" s="39">
        <v>98.46</v>
      </c>
      <c r="G20" s="37" t="s">
        <v>57</v>
      </c>
      <c r="I20" s="6" t="str">
        <f t="shared" si="1"/>
        <v>WHEN resource_name = 'GWFPWR_1_UNITS' THEN '19'</v>
      </c>
      <c r="J20" s="6" t="str">
        <f t="shared" si="0"/>
        <v xml:space="preserve"> 'GWFPWR_1_UNITS', </v>
      </c>
    </row>
    <row r="21" spans="1:10" x14ac:dyDescent="0.25">
      <c r="A21" s="6" t="s">
        <v>119</v>
      </c>
      <c r="B21" s="6" t="s">
        <v>159</v>
      </c>
      <c r="C21" s="6" t="s">
        <v>173</v>
      </c>
      <c r="D21" s="39">
        <v>20</v>
      </c>
      <c r="E21" s="39"/>
      <c r="F21" s="39">
        <v>47.49</v>
      </c>
      <c r="G21" s="37" t="s">
        <v>57</v>
      </c>
      <c r="I21" s="6" t="str">
        <f t="shared" si="1"/>
        <v>WHEN resource_name = 'MKTRCK_1_UNIT 1' THEN '20'</v>
      </c>
      <c r="J21" s="6" t="str">
        <f t="shared" si="0"/>
        <v xml:space="preserve"> 'MKTRCK_1_UNIT 1', </v>
      </c>
    </row>
    <row r="22" spans="1:10" x14ac:dyDescent="0.25">
      <c r="A22" s="6" t="s">
        <v>121</v>
      </c>
      <c r="B22" s="6" t="s">
        <v>161</v>
      </c>
      <c r="C22" s="6" t="s">
        <v>173</v>
      </c>
      <c r="D22" s="39">
        <v>21</v>
      </c>
      <c r="E22" s="39"/>
      <c r="F22" s="39">
        <v>95.4</v>
      </c>
      <c r="G22" s="37" t="s">
        <v>57</v>
      </c>
      <c r="I22" s="6" t="str">
        <f t="shared" si="1"/>
        <v>WHEN resource_name = 'GILRPP_1_PL1X2' THEN '21'</v>
      </c>
      <c r="J22" s="6" t="str">
        <f t="shared" si="0"/>
        <v xml:space="preserve"> 'GILRPP_1_PL1X2', </v>
      </c>
    </row>
    <row r="23" spans="1:10" x14ac:dyDescent="0.25">
      <c r="A23" s="6" t="s">
        <v>124</v>
      </c>
      <c r="B23" s="6" t="s">
        <v>164</v>
      </c>
      <c r="C23" s="6" t="s">
        <v>173</v>
      </c>
      <c r="D23" s="39">
        <v>22</v>
      </c>
      <c r="E23" s="39"/>
      <c r="F23" s="39">
        <v>309.83999999999997</v>
      </c>
      <c r="G23" s="37" t="s">
        <v>57</v>
      </c>
      <c r="I23" s="6" t="str">
        <f t="shared" si="1"/>
        <v>WHEN resource_name = 'LECEF_1_UNITS' THEN '22'</v>
      </c>
      <c r="J23" s="6" t="str">
        <f t="shared" si="0"/>
        <v xml:space="preserve"> 'LECEF_1_UNITS', </v>
      </c>
    </row>
    <row r="24" spans="1:10" x14ac:dyDescent="0.25">
      <c r="A24" s="6" t="s">
        <v>129</v>
      </c>
      <c r="B24" s="6" t="s">
        <v>169</v>
      </c>
      <c r="C24" s="6" t="s">
        <v>173</v>
      </c>
      <c r="D24" s="39">
        <v>23</v>
      </c>
      <c r="E24" s="39"/>
      <c r="F24" s="39">
        <v>119.91</v>
      </c>
      <c r="G24" s="37" t="s">
        <v>57</v>
      </c>
      <c r="I24" s="6" t="str">
        <f t="shared" si="1"/>
        <v>WHEN resource_name = 'SUNSET_2_UNITS' THEN '23'</v>
      </c>
      <c r="J24" s="6" t="str">
        <f t="shared" si="0"/>
        <v xml:space="preserve"> 'SUNSET_2_UNITS', </v>
      </c>
    </row>
    <row r="25" spans="1:10" x14ac:dyDescent="0.25">
      <c r="A25" s="6" t="s">
        <v>130</v>
      </c>
      <c r="B25" s="6" t="s">
        <v>170</v>
      </c>
      <c r="C25" s="6" t="s">
        <v>173</v>
      </c>
      <c r="D25" s="39">
        <v>24</v>
      </c>
      <c r="E25" s="39"/>
      <c r="F25" s="39">
        <v>52.23</v>
      </c>
      <c r="G25" s="37" t="s">
        <v>57</v>
      </c>
      <c r="I25" s="6" t="str">
        <f t="shared" si="1"/>
        <v>WHEN resource_name = 'DOUBLC_1_UNITS' THEN '24'</v>
      </c>
      <c r="J25" s="6" t="str">
        <f t="shared" si="0"/>
        <v xml:space="preserve"> 'DOUBLC_1_UNITS', </v>
      </c>
    </row>
    <row r="26" spans="1:10" x14ac:dyDescent="0.25">
      <c r="A26" s="6" t="s">
        <v>131</v>
      </c>
      <c r="B26" s="6" t="s">
        <v>171</v>
      </c>
      <c r="C26" s="6" t="s">
        <v>173</v>
      </c>
      <c r="D26" s="39">
        <v>25</v>
      </c>
      <c r="E26" s="39"/>
      <c r="F26" s="39">
        <v>52.4</v>
      </c>
      <c r="G26" s="37" t="s">
        <v>57</v>
      </c>
      <c r="I26" s="6" t="str">
        <f t="shared" si="1"/>
        <v>WHEN resource_name = 'KERNFT_1_UNITS' THEN '25'</v>
      </c>
      <c r="J26" s="6" t="str">
        <f t="shared" si="0"/>
        <v xml:space="preserve"> 'KERNFT_1_UNITS', </v>
      </c>
    </row>
    <row r="27" spans="1:10" x14ac:dyDescent="0.25">
      <c r="A27" s="6" t="s">
        <v>132</v>
      </c>
      <c r="B27" s="6" t="s">
        <v>172</v>
      </c>
      <c r="C27" s="6" t="s">
        <v>173</v>
      </c>
      <c r="D27" s="39">
        <v>26</v>
      </c>
      <c r="E27" s="39"/>
      <c r="F27" s="39">
        <v>52.43</v>
      </c>
      <c r="G27" s="37" t="s">
        <v>57</v>
      </c>
      <c r="I27" s="6" t="str">
        <f t="shared" si="1"/>
        <v>WHEN resource_name = 'SIERRA_1_UNITS' THEN '26'</v>
      </c>
      <c r="J27" s="6" t="str">
        <f t="shared" si="0"/>
        <v xml:space="preserve"> 'SIERRA_1_UNITS', </v>
      </c>
    </row>
    <row r="28" spans="1:10" x14ac:dyDescent="0.25">
      <c r="A28" s="6" t="s">
        <v>95</v>
      </c>
      <c r="B28" s="6" t="s">
        <v>135</v>
      </c>
      <c r="C28" s="6" t="s">
        <v>173</v>
      </c>
      <c r="D28" s="39">
        <v>27</v>
      </c>
      <c r="E28" s="39"/>
      <c r="F28" s="39">
        <v>46.2</v>
      </c>
      <c r="G28" s="37" t="s">
        <v>57</v>
      </c>
      <c r="I28" s="6" t="str">
        <f t="shared" si="1"/>
        <v>WHEN resource_name = 'GILRPP_1_PL3X4' THEN '27'</v>
      </c>
      <c r="J28" s="6" t="str">
        <f t="shared" si="0"/>
        <v xml:space="preserve"> 'GILRPP_1_PL3X4', </v>
      </c>
    </row>
    <row r="29" spans="1:10" x14ac:dyDescent="0.25">
      <c r="A29" s="6" t="s">
        <v>96</v>
      </c>
      <c r="B29" s="6" t="s">
        <v>136</v>
      </c>
      <c r="C29" s="6" t="s">
        <v>173</v>
      </c>
      <c r="D29" s="39">
        <v>28</v>
      </c>
      <c r="E29" s="39"/>
      <c r="F29" s="39">
        <v>44.6</v>
      </c>
      <c r="G29" s="37" t="s">
        <v>57</v>
      </c>
      <c r="I29" s="6" t="str">
        <f t="shared" si="1"/>
        <v>WHEN resource_name = 'KNGCTY_6_UNITA1' THEN '28'</v>
      </c>
      <c r="J29" s="6" t="str">
        <f t="shared" si="0"/>
        <v xml:space="preserve"> 'KNGCTY_6_UNITA1', </v>
      </c>
    </row>
    <row r="30" spans="1:10" x14ac:dyDescent="0.25">
      <c r="A30" s="6" t="s">
        <v>97</v>
      </c>
      <c r="B30" s="6" t="s">
        <v>137</v>
      </c>
      <c r="C30" s="6" t="s">
        <v>173</v>
      </c>
      <c r="D30" s="39">
        <v>29</v>
      </c>
      <c r="E30" s="39"/>
      <c r="F30" s="39">
        <v>48</v>
      </c>
      <c r="G30" s="37" t="s">
        <v>57</v>
      </c>
      <c r="I30" s="6" t="str">
        <f t="shared" si="1"/>
        <v>WHEN resource_name = 'LMBEPK_2_UNITA1' THEN '29'</v>
      </c>
      <c r="J30" s="6" t="str">
        <f t="shared" si="0"/>
        <v xml:space="preserve"> 'LMBEPK_2_UNITA1', </v>
      </c>
    </row>
    <row r="31" spans="1:10" x14ac:dyDescent="0.25">
      <c r="A31" s="6" t="s">
        <v>98</v>
      </c>
      <c r="B31" s="6" t="s">
        <v>138</v>
      </c>
      <c r="C31" s="6" t="s">
        <v>173</v>
      </c>
      <c r="D31" s="39">
        <v>30</v>
      </c>
      <c r="E31" s="39"/>
      <c r="F31" s="39">
        <v>48</v>
      </c>
      <c r="G31" s="37" t="s">
        <v>57</v>
      </c>
      <c r="I31" s="6" t="str">
        <f t="shared" si="1"/>
        <v>WHEN resource_name = 'LMBEPK_2_UNITA2' THEN '30'</v>
      </c>
      <c r="J31" s="6" t="str">
        <f t="shared" si="0"/>
        <v xml:space="preserve"> 'LMBEPK_2_UNITA2', </v>
      </c>
    </row>
    <row r="32" spans="1:10" x14ac:dyDescent="0.25">
      <c r="A32" s="6" t="s">
        <v>99</v>
      </c>
      <c r="B32" s="6" t="s">
        <v>139</v>
      </c>
      <c r="C32" s="6" t="s">
        <v>173</v>
      </c>
      <c r="D32" s="39">
        <v>31</v>
      </c>
      <c r="E32" s="39"/>
      <c r="F32" s="39">
        <v>48</v>
      </c>
      <c r="G32" s="37" t="s">
        <v>57</v>
      </c>
      <c r="I32" s="6" t="str">
        <f t="shared" si="1"/>
        <v>WHEN resource_name = 'LMBEPK_2_UNITA3' THEN '31'</v>
      </c>
      <c r="J32" s="6" t="str">
        <f t="shared" si="0"/>
        <v xml:space="preserve"> 'LMBEPK_2_UNITA3', </v>
      </c>
    </row>
    <row r="33" spans="1:10" x14ac:dyDescent="0.25">
      <c r="A33" s="6" t="s">
        <v>100</v>
      </c>
      <c r="B33" s="6" t="s">
        <v>140</v>
      </c>
      <c r="C33" s="6" t="s">
        <v>173</v>
      </c>
      <c r="D33" s="39">
        <v>32</v>
      </c>
      <c r="E33" s="39"/>
      <c r="F33" s="39">
        <v>48.7</v>
      </c>
      <c r="G33" s="37" t="s">
        <v>57</v>
      </c>
      <c r="I33" s="6" t="str">
        <f t="shared" si="1"/>
        <v>WHEN resource_name = 'RVRVEW_1_UNITA1' THEN '32'</v>
      </c>
      <c r="J33" s="6" t="str">
        <f t="shared" si="0"/>
        <v xml:space="preserve"> 'RVRVEW_1_UNITA1', </v>
      </c>
    </row>
    <row r="34" spans="1:10" x14ac:dyDescent="0.25">
      <c r="A34" s="6" t="s">
        <v>101</v>
      </c>
      <c r="B34" s="6" t="s">
        <v>141</v>
      </c>
      <c r="C34" s="6" t="s">
        <v>173</v>
      </c>
      <c r="D34" s="39">
        <v>33</v>
      </c>
      <c r="E34" s="39"/>
      <c r="F34" s="39">
        <v>46.9</v>
      </c>
      <c r="G34" s="37" t="s">
        <v>57</v>
      </c>
      <c r="I34" s="6" t="str">
        <f t="shared" si="1"/>
        <v>WHEN resource_name = 'WOLFSK_1_UNITA1' THEN '33'</v>
      </c>
      <c r="J34" s="6" t="str">
        <f t="shared" si="0"/>
        <v xml:space="preserve"> 'WOLFSK_1_UNITA1', </v>
      </c>
    </row>
    <row r="35" spans="1:10" x14ac:dyDescent="0.25">
      <c r="A35" s="6" t="s">
        <v>102</v>
      </c>
      <c r="B35" s="6" t="s">
        <v>142</v>
      </c>
      <c r="C35" s="6" t="s">
        <v>173</v>
      </c>
      <c r="D35" s="39">
        <v>34</v>
      </c>
      <c r="E35" s="39"/>
      <c r="F35" s="39">
        <v>46</v>
      </c>
      <c r="G35" s="37" t="s">
        <v>57</v>
      </c>
      <c r="I35" s="6" t="str">
        <f t="shared" si="1"/>
        <v>WHEN resource_name = 'YUBACT_6_UNITA1' THEN '34'</v>
      </c>
      <c r="J35" s="6" t="str">
        <f t="shared" si="0"/>
        <v xml:space="preserve"> 'YUBACT_6_UNITA1', </v>
      </c>
    </row>
    <row r="36" spans="1:10" x14ac:dyDescent="0.25">
      <c r="A36" s="6" t="s">
        <v>103</v>
      </c>
      <c r="B36" s="6" t="s">
        <v>143</v>
      </c>
      <c r="C36" s="6" t="s">
        <v>173</v>
      </c>
      <c r="D36" s="39">
        <v>35</v>
      </c>
      <c r="E36" s="39"/>
      <c r="F36" s="39">
        <v>49.98</v>
      </c>
      <c r="G36" s="37" t="s">
        <v>57</v>
      </c>
      <c r="I36" s="6" t="str">
        <f t="shared" si="1"/>
        <v>WHEN resource_name = 'HENRTA_6_UNITA1' THEN '35'</v>
      </c>
      <c r="J36" s="6" t="str">
        <f t="shared" si="0"/>
        <v xml:space="preserve"> 'HENRTA_6_UNITA1', </v>
      </c>
    </row>
    <row r="37" spans="1:10" x14ac:dyDescent="0.25">
      <c r="A37" s="6" t="s">
        <v>104</v>
      </c>
      <c r="B37" s="6" t="s">
        <v>144</v>
      </c>
      <c r="C37" s="6" t="s">
        <v>173</v>
      </c>
      <c r="D37" s="39">
        <v>36</v>
      </c>
      <c r="E37" s="39"/>
      <c r="F37" s="39">
        <v>49.42</v>
      </c>
      <c r="G37" s="37" t="s">
        <v>57</v>
      </c>
      <c r="I37" s="6" t="str">
        <f t="shared" si="1"/>
        <v>WHEN resource_name = 'HENRTA_6_UNITA2' THEN '36'</v>
      </c>
      <c r="J37" s="6" t="str">
        <f t="shared" si="0"/>
        <v xml:space="preserve"> 'HENRTA_6_UNITA2', </v>
      </c>
    </row>
    <row r="38" spans="1:10" x14ac:dyDescent="0.25">
      <c r="A38" s="6" t="s">
        <v>105</v>
      </c>
      <c r="B38" s="6" t="s">
        <v>145</v>
      </c>
      <c r="C38" s="6" t="s">
        <v>173</v>
      </c>
      <c r="D38" s="39">
        <v>37</v>
      </c>
      <c r="E38" s="39"/>
      <c r="F38" s="39">
        <v>28</v>
      </c>
      <c r="G38" s="37" t="s">
        <v>57</v>
      </c>
      <c r="I38" s="6" t="str">
        <f t="shared" si="1"/>
        <v>WHEN resource_name = 'CALPIN_1_AGNEW' THEN '37'</v>
      </c>
      <c r="J38" s="6" t="str">
        <f t="shared" si="0"/>
        <v xml:space="preserve"> 'CALPIN_1_AGNEW', </v>
      </c>
    </row>
    <row r="39" spans="1:10" x14ac:dyDescent="0.25">
      <c r="A39" s="6" t="s">
        <v>110</v>
      </c>
      <c r="B39" s="6" t="s">
        <v>150</v>
      </c>
      <c r="C39" s="6" t="s">
        <v>174</v>
      </c>
      <c r="D39" s="39">
        <v>38</v>
      </c>
      <c r="E39" s="39"/>
      <c r="F39" s="39">
        <v>7.5</v>
      </c>
      <c r="G39" s="37" t="s">
        <v>57</v>
      </c>
      <c r="I39" s="6" t="str">
        <f t="shared" si="1"/>
        <v>WHEN resource_name = 'OROVIL_6_UNIT' THEN '38'</v>
      </c>
      <c r="J39" s="6" t="str">
        <f t="shared" si="0"/>
        <v xml:space="preserve"> 'OROVIL_6_UNIT', </v>
      </c>
    </row>
    <row r="40" spans="1:10" x14ac:dyDescent="0.25">
      <c r="A40" s="6" t="s">
        <v>127</v>
      </c>
      <c r="B40" s="6" t="s">
        <v>167</v>
      </c>
      <c r="C40" s="6" t="s">
        <v>175</v>
      </c>
      <c r="D40" s="39">
        <v>39</v>
      </c>
      <c r="E40" s="39"/>
      <c r="F40" s="39">
        <v>620</v>
      </c>
      <c r="G40" s="37" t="s">
        <v>57</v>
      </c>
      <c r="I40" s="6" t="str">
        <f t="shared" si="1"/>
        <v>WHEN resource_name = 'RUSCTY_2_UNITS' THEN '39'</v>
      </c>
      <c r="J40" s="6" t="str">
        <f t="shared" si="0"/>
        <v xml:space="preserve"> 'RUSCTY_2_UNITS', </v>
      </c>
    </row>
    <row r="41" spans="1:10" x14ac:dyDescent="0.25">
      <c r="A41" s="6" t="s">
        <v>128</v>
      </c>
      <c r="B41" s="6" t="s">
        <v>168</v>
      </c>
      <c r="C41" s="6" t="s">
        <v>175</v>
      </c>
      <c r="D41" s="39">
        <v>40</v>
      </c>
      <c r="E41" s="39"/>
      <c r="F41" s="39">
        <v>332.28</v>
      </c>
      <c r="G41" s="37" t="s">
        <v>57</v>
      </c>
      <c r="I41" s="6" t="str">
        <f t="shared" si="1"/>
        <v>WHEN resource_name = 'SCHLTE_1_PL1X3' THEN '40'</v>
      </c>
      <c r="J41" s="6" t="str">
        <f t="shared" si="0"/>
        <v xml:space="preserve"> 'SCHLTE_1_PL1X3', </v>
      </c>
    </row>
    <row r="42" spans="1:10" x14ac:dyDescent="0.25">
      <c r="A42" s="6" t="s">
        <v>210</v>
      </c>
      <c r="B42" s="6" t="s">
        <v>214</v>
      </c>
      <c r="C42" s="6" t="s">
        <v>209</v>
      </c>
      <c r="D42" s="39">
        <v>41</v>
      </c>
      <c r="E42" s="39"/>
      <c r="F42" s="39">
        <v>135</v>
      </c>
      <c r="G42" s="37" t="s">
        <v>57</v>
      </c>
      <c r="I42" s="6" t="str">
        <f>"WHEN resource_name = '"&amp;A42&amp;"' THEN '"&amp;B42&amp;"'"</f>
        <v>WHEN resource_name = 'BASICE_2_UNITS' THEN 'Calpine American'</v>
      </c>
      <c r="J42" s="6" t="str">
        <f t="shared" si="0"/>
        <v xml:space="preserve"> 'BASICE_2_UNITS', </v>
      </c>
    </row>
    <row r="43" spans="1:10" x14ac:dyDescent="0.25">
      <c r="A43" s="6" t="s">
        <v>211</v>
      </c>
      <c r="B43" s="6" t="s">
        <v>216</v>
      </c>
      <c r="C43" s="6" t="s">
        <v>209</v>
      </c>
      <c r="D43" s="39">
        <v>42</v>
      </c>
      <c r="E43" s="39"/>
      <c r="F43" s="39">
        <v>240</v>
      </c>
      <c r="G43" s="37" t="s">
        <v>57</v>
      </c>
      <c r="I43" s="6" t="str">
        <f t="shared" ref="I43:I45" si="2">"WHEN resource_name = '"&amp;A43&amp;"' THEN '"&amp;B43&amp;"'"</f>
        <v>WHEN resource_name = 'CROKET_7_UNIT' THEN 'Crockett'</v>
      </c>
      <c r="J43" s="6" t="str">
        <f t="shared" si="0"/>
        <v xml:space="preserve"> 'CROKET_7_UNIT', </v>
      </c>
    </row>
    <row r="44" spans="1:10" x14ac:dyDescent="0.25">
      <c r="A44" s="6" t="s">
        <v>212</v>
      </c>
      <c r="B44" s="6" t="s">
        <v>217</v>
      </c>
      <c r="C44" s="6" t="s">
        <v>209</v>
      </c>
      <c r="D44" s="39">
        <v>43</v>
      </c>
      <c r="E44" s="39"/>
      <c r="F44" s="39">
        <v>63.75</v>
      </c>
      <c r="G44" s="37" t="s">
        <v>57</v>
      </c>
      <c r="I44" s="6" t="str">
        <f t="shared" si="2"/>
        <v>WHEN resource_name = 'GRNLF2_1_UNIT' THEN 'Greenleaf II'</v>
      </c>
      <c r="J44" s="6" t="str">
        <f t="shared" si="0"/>
        <v xml:space="preserve"> 'GRNLF2_1_UNIT', </v>
      </c>
    </row>
    <row r="45" spans="1:10" x14ac:dyDescent="0.25">
      <c r="A45" s="6" t="s">
        <v>213</v>
      </c>
      <c r="B45" s="6" t="s">
        <v>215</v>
      </c>
      <c r="C45" s="6" t="s">
        <v>209</v>
      </c>
      <c r="D45" s="39">
        <v>44</v>
      </c>
      <c r="E45" s="39"/>
      <c r="F45" s="39">
        <v>56.2</v>
      </c>
      <c r="G45" s="37" t="s">
        <v>57</v>
      </c>
      <c r="I45" s="6" t="str">
        <f t="shared" si="2"/>
        <v>WHEN resource_name = 'DISCOV_1_CHEVRN' THEN 'Chevron'</v>
      </c>
      <c r="J45" s="6" t="str">
        <f t="shared" si="0"/>
        <v xml:space="preserve"> 'DISCOV_1_CHEVRN', </v>
      </c>
    </row>
    <row r="46" spans="1:10" x14ac:dyDescent="0.25">
      <c r="A46" s="6"/>
      <c r="B46" s="6"/>
      <c r="C46" s="6"/>
      <c r="D46" s="39"/>
      <c r="E46" s="39"/>
      <c r="F46" s="39"/>
    </row>
    <row r="47" spans="1:10" x14ac:dyDescent="0.25">
      <c r="C47" s="38"/>
      <c r="D47" s="39"/>
      <c r="E47" s="39"/>
      <c r="F47" s="39"/>
    </row>
    <row r="48" spans="1:10" x14ac:dyDescent="0.25">
      <c r="C48" s="38"/>
      <c r="D48" s="39"/>
      <c r="E48" s="39"/>
      <c r="F48" s="39"/>
    </row>
    <row r="49" spans="3:6" x14ac:dyDescent="0.25">
      <c r="C49" s="38"/>
      <c r="D49" s="39"/>
      <c r="E49" s="39"/>
      <c r="F49" s="39"/>
    </row>
    <row r="50" spans="3:6" x14ac:dyDescent="0.25">
      <c r="C50" s="38"/>
      <c r="D50" s="39"/>
      <c r="E50" s="39"/>
      <c r="F50" s="39"/>
    </row>
    <row r="51" spans="3:6" x14ac:dyDescent="0.25">
      <c r="C51" s="38"/>
      <c r="D51" s="39"/>
      <c r="E51" s="39"/>
      <c r="F51" s="39"/>
    </row>
    <row r="52" spans="3:6" x14ac:dyDescent="0.25">
      <c r="C52" s="38"/>
      <c r="D52" s="39"/>
      <c r="E52" s="39"/>
      <c r="F52" s="39"/>
    </row>
    <row r="53" spans="3:6" x14ac:dyDescent="0.25">
      <c r="C53" s="38"/>
      <c r="D53" s="39"/>
      <c r="E53" s="39"/>
      <c r="F53" s="39"/>
    </row>
    <row r="54" spans="3:6" x14ac:dyDescent="0.25">
      <c r="C54" s="38"/>
      <c r="D54" s="39"/>
      <c r="E54" s="39"/>
      <c r="F54" s="39"/>
    </row>
    <row r="55" spans="3:6" x14ac:dyDescent="0.25">
      <c r="C55" s="38"/>
      <c r="D55" s="39"/>
      <c r="E55" s="39"/>
      <c r="F55" s="39"/>
    </row>
    <row r="56" spans="3:6" x14ac:dyDescent="0.25">
      <c r="C56" s="38"/>
      <c r="D56" s="39"/>
      <c r="E56" s="39"/>
      <c r="F56" s="39"/>
    </row>
    <row r="57" spans="3:6" x14ac:dyDescent="0.25">
      <c r="C57" s="38"/>
      <c r="D57" s="39"/>
      <c r="E57" s="39"/>
      <c r="F57" s="39"/>
    </row>
    <row r="58" spans="3:6" x14ac:dyDescent="0.25">
      <c r="C58" s="38"/>
      <c r="D58" s="39"/>
      <c r="E58" s="39"/>
      <c r="F58" s="39"/>
    </row>
    <row r="59" spans="3:6" x14ac:dyDescent="0.25">
      <c r="C59" s="38"/>
      <c r="D59" s="39"/>
      <c r="E59" s="39"/>
      <c r="F59" s="39"/>
    </row>
    <row r="60" spans="3:6" x14ac:dyDescent="0.25">
      <c r="C60" s="38"/>
      <c r="D60" s="39"/>
      <c r="E60" s="39"/>
      <c r="F60" s="39"/>
    </row>
    <row r="61" spans="3:6" x14ac:dyDescent="0.25">
      <c r="C61" s="38"/>
      <c r="D61" s="39"/>
      <c r="E61" s="39"/>
      <c r="F61" s="39"/>
    </row>
    <row r="62" spans="3:6" x14ac:dyDescent="0.25">
      <c r="C62" s="38"/>
      <c r="D62" s="39"/>
      <c r="E62" s="39"/>
      <c r="F62" s="39"/>
    </row>
    <row r="63" spans="3:6" x14ac:dyDescent="0.25">
      <c r="C63" s="38"/>
      <c r="D63" s="39"/>
      <c r="E63" s="39"/>
      <c r="F63" s="39"/>
    </row>
    <row r="64" spans="3:6" x14ac:dyDescent="0.25">
      <c r="C64" s="38"/>
      <c r="D64" s="39"/>
      <c r="E64" s="39"/>
      <c r="F64" s="39"/>
    </row>
    <row r="65" spans="3:6" x14ac:dyDescent="0.25">
      <c r="C65" s="38"/>
      <c r="D65" s="39"/>
      <c r="E65" s="39"/>
      <c r="F65" s="39"/>
    </row>
    <row r="66" spans="3:6" x14ac:dyDescent="0.25">
      <c r="C66" s="38"/>
      <c r="D66" s="39"/>
      <c r="E66" s="39"/>
      <c r="F66" s="39"/>
    </row>
    <row r="67" spans="3:6" x14ac:dyDescent="0.25">
      <c r="C67" s="38"/>
      <c r="D67" s="39"/>
      <c r="E67" s="39"/>
      <c r="F67" s="39"/>
    </row>
    <row r="68" spans="3:6" x14ac:dyDescent="0.25">
      <c r="C68" s="38"/>
      <c r="D68" s="39"/>
      <c r="E68" s="39"/>
      <c r="F68" s="39"/>
    </row>
    <row r="69" spans="3:6" x14ac:dyDescent="0.25">
      <c r="C69" s="38"/>
      <c r="D69" s="39"/>
      <c r="E69" s="39"/>
      <c r="F69" s="39"/>
    </row>
    <row r="70" spans="3:6" x14ac:dyDescent="0.25">
      <c r="C70" s="38"/>
      <c r="D70" s="39"/>
      <c r="E70" s="39"/>
      <c r="F70" s="39"/>
    </row>
    <row r="71" spans="3:6" x14ac:dyDescent="0.25">
      <c r="C71" s="38"/>
      <c r="D71" s="39"/>
      <c r="E71" s="39"/>
      <c r="F71" s="39"/>
    </row>
    <row r="72" spans="3:6" x14ac:dyDescent="0.25">
      <c r="C72" s="38"/>
      <c r="D72" s="39"/>
      <c r="E72" s="39"/>
      <c r="F72" s="39"/>
    </row>
    <row r="73" spans="3:6" x14ac:dyDescent="0.25">
      <c r="C73" s="38"/>
      <c r="D73" s="39"/>
      <c r="E73" s="39"/>
      <c r="F73" s="39"/>
    </row>
    <row r="74" spans="3:6" x14ac:dyDescent="0.25">
      <c r="C74" s="38"/>
      <c r="D74" s="39"/>
      <c r="E74" s="39"/>
      <c r="F74" s="39"/>
    </row>
    <row r="75" spans="3:6" x14ac:dyDescent="0.25">
      <c r="C75" s="38"/>
      <c r="D75" s="39"/>
      <c r="E75" s="39"/>
      <c r="F75" s="39"/>
    </row>
    <row r="76" spans="3:6" x14ac:dyDescent="0.25">
      <c r="C76" s="38"/>
      <c r="D76" s="39"/>
      <c r="E76" s="39"/>
      <c r="F76" s="39"/>
    </row>
    <row r="77" spans="3:6" x14ac:dyDescent="0.25">
      <c r="C77" s="38"/>
      <c r="D77" s="39"/>
      <c r="E77" s="39"/>
      <c r="F77" s="39"/>
    </row>
    <row r="78" spans="3:6" x14ac:dyDescent="0.25">
      <c r="C78" s="38"/>
      <c r="D78" s="39"/>
      <c r="E78" s="39"/>
      <c r="F78" s="39"/>
    </row>
    <row r="79" spans="3:6" x14ac:dyDescent="0.25">
      <c r="C79" s="38"/>
      <c r="D79" s="39"/>
      <c r="E79" s="39"/>
      <c r="F79" s="39"/>
    </row>
    <row r="80" spans="3:6" x14ac:dyDescent="0.25">
      <c r="C80" s="38"/>
      <c r="D80" s="39"/>
      <c r="E80" s="39"/>
      <c r="F80" s="39"/>
    </row>
    <row r="81" spans="3:6" x14ac:dyDescent="0.25">
      <c r="C81" s="38"/>
      <c r="D81" s="39"/>
      <c r="E81" s="39"/>
      <c r="F81" s="39"/>
    </row>
    <row r="82" spans="3:6" x14ac:dyDescent="0.25">
      <c r="C82" s="38"/>
      <c r="D82" s="39"/>
      <c r="E82" s="39"/>
      <c r="F82" s="39"/>
    </row>
    <row r="83" spans="3:6" x14ac:dyDescent="0.25">
      <c r="C83" s="38"/>
      <c r="D83" s="39"/>
      <c r="E83" s="39"/>
      <c r="F83" s="39"/>
    </row>
    <row r="84" spans="3:6" x14ac:dyDescent="0.25">
      <c r="C84" s="38"/>
      <c r="D84" s="39"/>
      <c r="E84" s="39"/>
      <c r="F84" s="39"/>
    </row>
    <row r="85" spans="3:6" x14ac:dyDescent="0.25">
      <c r="C85" s="38"/>
      <c r="D85" s="39"/>
      <c r="E85" s="39"/>
      <c r="F85" s="39"/>
    </row>
    <row r="86" spans="3:6" x14ac:dyDescent="0.25">
      <c r="C86" s="38"/>
      <c r="D86" s="39"/>
      <c r="E86" s="39"/>
      <c r="F86" s="39"/>
    </row>
    <row r="87" spans="3:6" x14ac:dyDescent="0.25">
      <c r="C87" s="38"/>
      <c r="D87" s="39"/>
      <c r="E87" s="39"/>
      <c r="F87" s="39"/>
    </row>
    <row r="88" spans="3:6" x14ac:dyDescent="0.25">
      <c r="C88" s="38"/>
      <c r="D88" s="39"/>
      <c r="E88" s="39"/>
      <c r="F88" s="39"/>
    </row>
    <row r="89" spans="3:6" x14ac:dyDescent="0.25">
      <c r="C89" s="38"/>
      <c r="D89" s="39"/>
      <c r="E89" s="39"/>
      <c r="F89" s="39"/>
    </row>
    <row r="90" spans="3:6" x14ac:dyDescent="0.25">
      <c r="C90" s="38"/>
      <c r="D90" s="39"/>
      <c r="E90" s="39"/>
      <c r="F90" s="39"/>
    </row>
    <row r="91" spans="3:6" x14ac:dyDescent="0.25">
      <c r="C91" s="38"/>
      <c r="D91" s="39"/>
      <c r="E91" s="39"/>
      <c r="F91" s="39"/>
    </row>
    <row r="92" spans="3:6" x14ac:dyDescent="0.25">
      <c r="C92" s="38"/>
      <c r="D92" s="39"/>
      <c r="E92" s="39"/>
      <c r="F92" s="39"/>
    </row>
    <row r="93" spans="3:6" x14ac:dyDescent="0.25">
      <c r="C93" s="38"/>
      <c r="D93" s="39"/>
      <c r="E93" s="39"/>
      <c r="F93" s="39"/>
    </row>
    <row r="94" spans="3:6" x14ac:dyDescent="0.25">
      <c r="C94" s="38"/>
      <c r="D94" s="39"/>
      <c r="E94" s="39"/>
      <c r="F94" s="39"/>
    </row>
    <row r="95" spans="3:6" x14ac:dyDescent="0.25">
      <c r="C95" s="38"/>
      <c r="D95" s="39"/>
      <c r="E95" s="39"/>
      <c r="F95" s="39"/>
    </row>
    <row r="96" spans="3:6" x14ac:dyDescent="0.25">
      <c r="C96" s="38"/>
      <c r="D96" s="39"/>
      <c r="E96" s="39"/>
      <c r="F96" s="39"/>
    </row>
    <row r="97" spans="1:7" x14ac:dyDescent="0.25">
      <c r="C97" s="38"/>
      <c r="D97" s="39"/>
      <c r="E97" s="39"/>
      <c r="F97" s="39"/>
    </row>
    <row r="98" spans="1:7" x14ac:dyDescent="0.25">
      <c r="C98" s="38"/>
      <c r="D98" s="39"/>
      <c r="E98" s="39"/>
      <c r="F98" s="39"/>
    </row>
    <row r="99" spans="1:7" x14ac:dyDescent="0.25">
      <c r="C99" s="38"/>
      <c r="D99" s="39"/>
      <c r="E99" s="39"/>
      <c r="F99" s="39"/>
    </row>
    <row r="100" spans="1:7" x14ac:dyDescent="0.25">
      <c r="A100" s="40"/>
      <c r="C100" s="38"/>
      <c r="D100" s="39"/>
      <c r="E100" s="39"/>
      <c r="F100" s="39"/>
    </row>
    <row r="101" spans="1:7" x14ac:dyDescent="0.25">
      <c r="A101" s="41"/>
      <c r="B101" s="42"/>
      <c r="C101" s="43"/>
      <c r="D101" s="44"/>
      <c r="E101" s="44"/>
      <c r="F101" s="44"/>
      <c r="G101" s="42"/>
    </row>
    <row r="102" spans="1:7" x14ac:dyDescent="0.25">
      <c r="A102" s="41"/>
      <c r="B102" s="42"/>
      <c r="C102" s="43"/>
      <c r="D102" s="44"/>
      <c r="E102" s="44"/>
      <c r="F102" s="44"/>
      <c r="G102" s="42"/>
    </row>
  </sheetData>
  <autoFilter ref="A1:F41">
    <sortState ref="A2:F41">
      <sortCondition ref="D1:D4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Energy Settlements</vt:lpstr>
      <vt:lpstr>Energy Pivot</vt:lpstr>
      <vt:lpstr>Settlements Data</vt:lpstr>
      <vt:lpstr>CUG List</vt:lpstr>
      <vt:lpstr>'Energy Settlements'!Print_Area</vt:lpstr>
      <vt:lpstr>'Energy Settlements'!Print_Titles</vt:lpstr>
    </vt:vector>
  </TitlesOfParts>
  <Company>Pacific Gas and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Chemparathy, Joshua</dc:creator>
  <cp:lastModifiedBy>Chemparathy, Joshua</cp:lastModifiedBy>
  <cp:lastPrinted>2017-08-02T21:49:57Z</cp:lastPrinted>
  <dcterms:created xsi:type="dcterms:W3CDTF">2016-11-16T19:21:25Z</dcterms:created>
  <dcterms:modified xsi:type="dcterms:W3CDTF">2017-09-06T17:56:41Z</dcterms:modified>
</cp:coreProperties>
</file>