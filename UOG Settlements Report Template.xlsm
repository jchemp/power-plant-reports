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60" yWindow="105" windowWidth="24015" windowHeight="12345" tabRatio="552"/>
  </bookViews>
  <sheets>
    <sheet name="Energy Settlements" sheetId="5" r:id="rId1"/>
    <sheet name="Energy Pivot" sheetId="4" r:id="rId2"/>
    <sheet name="Motoring Data" sheetId="10" r:id="rId3"/>
    <sheet name="Settlements Data" sheetId="3" r:id="rId4"/>
    <sheet name="UOG List" sheetId="9" r:id="rId5"/>
  </sheets>
  <definedNames>
    <definedName name="_xlnm._FilterDatabase" localSheetId="3" hidden="1">'Settlements Data'!$A$1:$AF$100</definedName>
    <definedName name="_xlnm._FilterDatabase" localSheetId="4" hidden="1">'UOG List'!$A$1:$F$41</definedName>
    <definedName name="_xlnm.Print_Area" localSheetId="0">'Energy Settlements'!$A$1:$AC$146</definedName>
    <definedName name="_xlnm.Print_Titles" localSheetId="0">'Energy Settlements'!$1:$5</definedName>
  </definedNames>
  <calcPr calcId="145621"/>
  <pivotCaches>
    <pivotCache cacheId="61" r:id="rId6"/>
    <pivotCache cacheId="66" r:id="rId7"/>
  </pivotCaches>
</workbook>
</file>

<file path=xl/calcChain.xml><?xml version="1.0" encoding="utf-8"?>
<calcChain xmlns="http://schemas.openxmlformats.org/spreadsheetml/2006/main">
  <c r="AB114" i="5" l="1"/>
  <c r="AB115" i="5"/>
  <c r="AB116" i="5"/>
  <c r="C116" i="5" l="1"/>
  <c r="C115" i="5"/>
  <c r="AB6" i="5" l="1"/>
  <c r="AB117" i="5" l="1"/>
  <c r="AB49" i="5"/>
  <c r="AB50" i="5"/>
  <c r="AB51" i="5"/>
  <c r="AB52" i="5"/>
  <c r="AB53" i="5"/>
  <c r="AB54" i="5"/>
  <c r="AB55" i="5"/>
  <c r="AB56" i="5"/>
  <c r="AB57" i="5"/>
  <c r="AB58" i="5"/>
  <c r="AB59" i="5"/>
  <c r="AB60" i="5"/>
  <c r="AB61" i="5"/>
  <c r="AB62" i="5"/>
  <c r="AB63" i="5"/>
  <c r="AB64" i="5"/>
  <c r="AB65" i="5"/>
  <c r="AB66" i="5"/>
  <c r="AB67" i="5"/>
  <c r="AB68" i="5"/>
  <c r="AB69" i="5"/>
  <c r="AB70" i="5"/>
  <c r="AB71" i="5"/>
  <c r="AB72" i="5"/>
  <c r="AB73" i="5"/>
  <c r="AB74" i="5"/>
  <c r="AB75" i="5"/>
  <c r="AB76" i="5"/>
  <c r="AB77" i="5"/>
  <c r="AB78" i="5"/>
  <c r="AB79" i="5"/>
  <c r="AB80" i="5"/>
  <c r="AB81" i="5"/>
  <c r="AB82" i="5"/>
  <c r="AB83" i="5"/>
  <c r="AB84" i="5"/>
  <c r="AB85" i="5"/>
  <c r="AB86" i="5"/>
  <c r="AB87" i="5"/>
  <c r="AB88" i="5"/>
  <c r="AB89" i="5"/>
  <c r="AB90" i="5"/>
  <c r="AB91" i="5"/>
  <c r="AB92" i="5"/>
  <c r="AB93" i="5"/>
  <c r="AB94" i="5"/>
  <c r="AB95" i="5"/>
  <c r="AB96" i="5"/>
  <c r="AB97" i="5"/>
  <c r="AB98" i="5"/>
  <c r="AB99" i="5"/>
  <c r="AB100" i="5"/>
  <c r="AB101" i="5"/>
  <c r="AB102" i="5"/>
  <c r="AB103" i="5"/>
  <c r="AB104" i="5"/>
  <c r="AB105" i="5"/>
  <c r="AB106" i="5"/>
  <c r="AB107" i="5"/>
  <c r="AB108" i="5"/>
  <c r="AB109" i="5"/>
  <c r="AB110" i="5"/>
  <c r="AB111" i="5"/>
  <c r="AB112" i="5"/>
  <c r="AB113" i="5"/>
  <c r="C113" i="5" l="1"/>
  <c r="C112" i="5"/>
  <c r="C110" i="5"/>
  <c r="C109" i="5"/>
  <c r="C108" i="5"/>
  <c r="C107" i="5"/>
  <c r="C106" i="5"/>
  <c r="C105" i="5"/>
  <c r="C104" i="5"/>
  <c r="C103" i="5"/>
  <c r="C102" i="5"/>
  <c r="C101" i="5"/>
  <c r="C99" i="5"/>
  <c r="C98" i="5"/>
  <c r="C97" i="5"/>
  <c r="C96" i="5"/>
  <c r="C94" i="5"/>
  <c r="C93" i="5"/>
  <c r="C91" i="5"/>
  <c r="C90" i="5"/>
  <c r="C89" i="5"/>
  <c r="C88" i="5"/>
  <c r="C87" i="5"/>
  <c r="C86" i="5"/>
  <c r="C84" i="5"/>
  <c r="C83" i="5"/>
  <c r="C82" i="5"/>
  <c r="C81" i="5"/>
  <c r="C80" i="5"/>
  <c r="C79" i="5"/>
  <c r="C78" i="5"/>
  <c r="C77" i="5"/>
  <c r="C76" i="5"/>
  <c r="C75" i="5"/>
  <c r="C74" i="5"/>
  <c r="C73" i="5"/>
  <c r="C72" i="5"/>
  <c r="C71" i="5"/>
  <c r="C69" i="5"/>
  <c r="C68" i="5"/>
  <c r="C67" i="5"/>
  <c r="C66" i="5"/>
  <c r="C65" i="5"/>
  <c r="C64" i="5"/>
  <c r="C63" i="5"/>
  <c r="C62" i="5"/>
  <c r="C61" i="5"/>
  <c r="C60" i="5"/>
  <c r="C59" i="5"/>
  <c r="C58" i="5"/>
  <c r="C57" i="5"/>
  <c r="C56" i="5"/>
  <c r="C55" i="5"/>
  <c r="C54" i="5"/>
  <c r="C53" i="5"/>
  <c r="C52" i="5"/>
  <c r="C51" i="5"/>
  <c r="C50" i="5"/>
  <c r="C49" i="5"/>
  <c r="C48" i="5"/>
  <c r="C46" i="5"/>
  <c r="C45" i="5"/>
  <c r="C44" i="5"/>
  <c r="C43" i="5"/>
  <c r="C42" i="5"/>
  <c r="C41" i="5"/>
  <c r="C40" i="5"/>
  <c r="C39" i="5"/>
  <c r="C38" i="5"/>
  <c r="C37" i="5"/>
  <c r="C36" i="5"/>
  <c r="C35" i="5"/>
  <c r="C34" i="5"/>
  <c r="C33" i="5"/>
  <c r="C32" i="5"/>
  <c r="C31" i="5"/>
  <c r="C30" i="5"/>
  <c r="C29" i="5"/>
  <c r="C27" i="5"/>
  <c r="C26" i="5"/>
  <c r="C25" i="5"/>
  <c r="C24" i="5"/>
  <c r="C23" i="5"/>
  <c r="C22" i="5"/>
  <c r="C21" i="5"/>
  <c r="C20" i="5"/>
  <c r="C19" i="5"/>
  <c r="C18" i="5"/>
  <c r="C17" i="5"/>
  <c r="C16" i="5"/>
  <c r="C15" i="5"/>
  <c r="C14" i="5"/>
  <c r="C13" i="5"/>
  <c r="C12" i="5"/>
  <c r="C11" i="5"/>
  <c r="C10" i="5"/>
  <c r="C9" i="5"/>
  <c r="C8" i="5"/>
  <c r="C7" i="5"/>
  <c r="K41" i="9"/>
  <c r="J41" i="9"/>
  <c r="K40" i="9"/>
  <c r="J40" i="9"/>
  <c r="K39" i="9"/>
  <c r="J39" i="9"/>
  <c r="K38" i="9"/>
  <c r="J38" i="9"/>
  <c r="K37" i="9"/>
  <c r="J37" i="9"/>
  <c r="K36" i="9"/>
  <c r="J36" i="9"/>
  <c r="K35" i="9"/>
  <c r="J35" i="9"/>
  <c r="K34" i="9"/>
  <c r="J34" i="9"/>
  <c r="K33" i="9"/>
  <c r="J33" i="9"/>
  <c r="K32" i="9"/>
  <c r="J32" i="9"/>
  <c r="K31" i="9"/>
  <c r="J31" i="9"/>
  <c r="K30" i="9"/>
  <c r="J30" i="9"/>
  <c r="K29" i="9"/>
  <c r="J29" i="9"/>
  <c r="K28" i="9"/>
  <c r="J28" i="9"/>
  <c r="K27" i="9"/>
  <c r="J27" i="9"/>
  <c r="K26" i="9"/>
  <c r="J26" i="9"/>
  <c r="K25" i="9"/>
  <c r="J25" i="9"/>
  <c r="K24" i="9"/>
  <c r="J24" i="9"/>
  <c r="K23" i="9"/>
  <c r="J23" i="9"/>
  <c r="K22" i="9"/>
  <c r="J22" i="9"/>
  <c r="K21" i="9"/>
  <c r="J21" i="9"/>
  <c r="K20" i="9"/>
  <c r="J20" i="9"/>
  <c r="K19" i="9"/>
  <c r="J19" i="9"/>
  <c r="K18" i="9"/>
  <c r="J18" i="9"/>
  <c r="K17" i="9"/>
  <c r="J17" i="9"/>
  <c r="K16" i="9"/>
  <c r="J16" i="9"/>
  <c r="K15" i="9"/>
  <c r="J15" i="9"/>
  <c r="K14" i="9"/>
  <c r="J14" i="9"/>
  <c r="K13" i="9"/>
  <c r="J13" i="9"/>
  <c r="K12" i="9"/>
  <c r="J12" i="9"/>
  <c r="K11" i="9"/>
  <c r="J11" i="9"/>
  <c r="K10" i="9"/>
  <c r="J10" i="9"/>
  <c r="K9" i="9"/>
  <c r="J9" i="9"/>
  <c r="K8" i="9"/>
  <c r="J8" i="9"/>
  <c r="K7" i="9"/>
  <c r="J7" i="9"/>
  <c r="K6" i="9"/>
  <c r="J6" i="9"/>
  <c r="K5" i="9"/>
  <c r="J5" i="9"/>
  <c r="K4" i="9"/>
  <c r="J4" i="9"/>
  <c r="K3" i="9"/>
  <c r="J3" i="9"/>
  <c r="K2" i="9"/>
  <c r="J2" i="9"/>
  <c r="AB48" i="5"/>
  <c r="AB47" i="5"/>
  <c r="AB46" i="5"/>
  <c r="AB45" i="5"/>
  <c r="AB44" i="5"/>
  <c r="AB43" i="5"/>
  <c r="AB42" i="5"/>
  <c r="AB41" i="5"/>
  <c r="AB40" i="5"/>
  <c r="AB39" i="5"/>
  <c r="AB38" i="5"/>
  <c r="AB37" i="5"/>
  <c r="AB36" i="5"/>
  <c r="AB35" i="5"/>
  <c r="AB34" i="5"/>
  <c r="AB33" i="5"/>
  <c r="AB32" i="5"/>
  <c r="AB31" i="5"/>
  <c r="AB30" i="5"/>
  <c r="AB29" i="5"/>
  <c r="AB28" i="5"/>
  <c r="AB27" i="5"/>
  <c r="AB26" i="5"/>
  <c r="AB25" i="5"/>
  <c r="AB24" i="5"/>
  <c r="AB23" i="5"/>
  <c r="AB22" i="5"/>
  <c r="AB21" i="5"/>
  <c r="AB20" i="5"/>
  <c r="AB19" i="5"/>
  <c r="AB18" i="5"/>
  <c r="AB17" i="5"/>
  <c r="AB16" i="5"/>
  <c r="AB15" i="5"/>
  <c r="AB14" i="5"/>
  <c r="AB13" i="5"/>
  <c r="AB12" i="5"/>
  <c r="AB11" i="5"/>
  <c r="AB10" i="5"/>
  <c r="AB9" i="5"/>
  <c r="AB8" i="5"/>
  <c r="AB7" i="5"/>
</calcChain>
</file>

<file path=xl/sharedStrings.xml><?xml version="1.0" encoding="utf-8"?>
<sst xmlns="http://schemas.openxmlformats.org/spreadsheetml/2006/main" count="2288" uniqueCount="393">
  <si>
    <t>AREA</t>
  </si>
  <si>
    <t>RESOURCE_NAME</t>
  </si>
  <si>
    <t>PRIORITY</t>
  </si>
  <si>
    <t>RESOURCE_TYPE</t>
  </si>
  <si>
    <t>GEN</t>
  </si>
  <si>
    <t>Uninstructed Settlement Amount</t>
  </si>
  <si>
    <t>Uninstructed MWh (Gross)</t>
  </si>
  <si>
    <t>Row Labels</t>
  </si>
  <si>
    <t>Grand Total</t>
  </si>
  <si>
    <t>TOTAL_ENERGY_AMOUNT</t>
  </si>
  <si>
    <t>TOTAL_CAPACITY_AMOUNT</t>
  </si>
  <si>
    <t>TOTAL_OUTPUT_MWH</t>
  </si>
  <si>
    <t>UNINSTRUCTED_MWH_GROSS</t>
  </si>
  <si>
    <t>CC6475</t>
  </si>
  <si>
    <t>Sum of UNINSTRUCTED_MWH_GROSS</t>
  </si>
  <si>
    <t>Sum of CC6475</t>
  </si>
  <si>
    <t>Sum of TOTAL_OUTPUT_MWH</t>
  </si>
  <si>
    <t>Sum of TOTAL_ENERGY_AMOUNT</t>
  </si>
  <si>
    <t>Sum of TOTAL_CAPACITY_AMOUNT</t>
  </si>
  <si>
    <t>Energy Settlements</t>
  </si>
  <si>
    <t>Capacity Settlements</t>
  </si>
  <si>
    <t>Negative $ value = Charge</t>
  </si>
  <si>
    <t>A</t>
  </si>
  <si>
    <t>B</t>
  </si>
  <si>
    <t>C</t>
  </si>
  <si>
    <t>D</t>
  </si>
  <si>
    <t>E</t>
  </si>
  <si>
    <t>F</t>
  </si>
  <si>
    <t>G</t>
  </si>
  <si>
    <t>H</t>
  </si>
  <si>
    <t>I</t>
  </si>
  <si>
    <t>Resource</t>
  </si>
  <si>
    <t>P-Max</t>
  </si>
  <si>
    <t>Report Title Descriptions</t>
  </si>
  <si>
    <t>Column</t>
  </si>
  <si>
    <t>Title</t>
  </si>
  <si>
    <t>Description</t>
  </si>
  <si>
    <t>Gross MW deviation from final schedule (Ex. 5 MW above and 5 MW below final schedule = 10 MW deviation)</t>
  </si>
  <si>
    <t>* ISO Market Allocations and Administrative Costs (GMC) are not included in this report.</t>
  </si>
  <si>
    <t>Net of meter data value per 5 minute interval by resource</t>
  </si>
  <si>
    <t>Settlement amount (credit or charge) for all energy revenue including DA, RT (instructed and uninstructed), BCR, Flex Ramp Allocation, and Exceptional Dispatch</t>
  </si>
  <si>
    <t>Acronyms</t>
  </si>
  <si>
    <t>DA</t>
  </si>
  <si>
    <t>Day Ahead</t>
  </si>
  <si>
    <t>Sum of Total Energy Settlement Amount (Net) and Capacity Totals by resource</t>
  </si>
  <si>
    <t>RT</t>
  </si>
  <si>
    <t>Real Time</t>
  </si>
  <si>
    <t>BCR</t>
  </si>
  <si>
    <t>Bid Cost Recovery</t>
  </si>
  <si>
    <t>Resource ID</t>
  </si>
  <si>
    <t>Resource Name</t>
  </si>
  <si>
    <t>Resource Type</t>
  </si>
  <si>
    <t>Priority</t>
  </si>
  <si>
    <t>A/S?</t>
  </si>
  <si>
    <t>Status</t>
  </si>
  <si>
    <t>[TOOL] SQL Code Editing</t>
  </si>
  <si>
    <t>N</t>
  </si>
  <si>
    <t>Active</t>
  </si>
  <si>
    <t>Total Settlements</t>
  </si>
  <si>
    <t>Settlement amount (credit or charge) for total Capacity of AS, Flexible Ramp, and RAAIM by resource</t>
  </si>
  <si>
    <t>J</t>
  </si>
  <si>
    <t>K</t>
  </si>
  <si>
    <t>L</t>
  </si>
  <si>
    <t>M</t>
  </si>
  <si>
    <t>O</t>
  </si>
  <si>
    <t>AS</t>
  </si>
  <si>
    <t>Ancillary Services</t>
  </si>
  <si>
    <t>Regulation Up</t>
  </si>
  <si>
    <t>Regulation Down</t>
  </si>
  <si>
    <t>RAAIM</t>
  </si>
  <si>
    <t>Total Energy and Capacity Settlement</t>
  </si>
  <si>
    <t>Total Capacity Settlement Amount</t>
  </si>
  <si>
    <t>Resource Adequacy Availability Incentive Mechanism</t>
  </si>
  <si>
    <t>Total Energy Settlement Amount</t>
  </si>
  <si>
    <t>Output MWh (Net)</t>
  </si>
  <si>
    <t>Credit for awarded spinning reserve capacity in the Day-Ahead Market and Real-Time Markets</t>
  </si>
  <si>
    <t>Credit for awarded non-spinning reserve capacity in the Day-Ahead Market and Real-Time Markets</t>
  </si>
  <si>
    <t>Credit for awarded regulation down reserve capacity in the Day-Ahead Market and Real-Time Markets</t>
  </si>
  <si>
    <t>Credit for awarded regulation up reserve capacity in the Day-Ahead Market and Real-Time Markets</t>
  </si>
  <si>
    <t>CC6100_6170</t>
  </si>
  <si>
    <t>CC6200_6270</t>
  </si>
  <si>
    <t>CC6500_6570</t>
  </si>
  <si>
    <t>CC6600_6670</t>
  </si>
  <si>
    <t>Sum of CC6100_6170</t>
  </si>
  <si>
    <t>Sum of CC6200_6270</t>
  </si>
  <si>
    <t>Sum of CC6500_6570</t>
  </si>
  <si>
    <t>Sum of CC6600_6670</t>
  </si>
  <si>
    <t>CC7070</t>
  </si>
  <si>
    <t>CC7071</t>
  </si>
  <si>
    <t>CC7081</t>
  </si>
  <si>
    <t>Sum of CC7070</t>
  </si>
  <si>
    <t>Sum of CC7071</t>
  </si>
  <si>
    <t>Sum of CC7081</t>
  </si>
  <si>
    <t>FMM</t>
  </si>
  <si>
    <t>Fifteen Minute Market</t>
  </si>
  <si>
    <t>Forecasted Movement</t>
  </si>
  <si>
    <t>AS No Pay (Net)</t>
  </si>
  <si>
    <t>Spinning</t>
  </si>
  <si>
    <t>Non-Spinning</t>
  </si>
  <si>
    <t>NET_NO_PAY</t>
  </si>
  <si>
    <t>Sum of NET_NO_PAY</t>
  </si>
  <si>
    <t>Net No Pay for all AS products rescinding Day-Ahead and Real-Time capacity awards payments when the resource does not fulfill the requirements associated with the payment.</t>
  </si>
  <si>
    <t>Credit (or charge) to a resource for procured ramping capability needed by CAISO.</t>
  </si>
  <si>
    <t>Charge (or credit) to a resource for procured ramping capability needed by CAISO.</t>
  </si>
  <si>
    <t>RAAIM Monthly Settlement</t>
  </si>
  <si>
    <t>Credit or charge to a resource for adjustments to dispatch operating point to meet forecasted net load.</t>
  </si>
  <si>
    <t>CC7078</t>
  </si>
  <si>
    <t>CC7088</t>
  </si>
  <si>
    <t>Sum of CC7078</t>
  </si>
  <si>
    <t>Forecasted Movement Settlement</t>
  </si>
  <si>
    <t xml:space="preserve">Flexible Ramp Up </t>
  </si>
  <si>
    <t xml:space="preserve">Flex Ramp Down </t>
  </si>
  <si>
    <t>Uncertainty Settlement</t>
  </si>
  <si>
    <t>Monthly Allocation</t>
  </si>
  <si>
    <t>P</t>
  </si>
  <si>
    <t>RAAIM (Monthly)</t>
  </si>
  <si>
    <t>FRU Uncertainty</t>
  </si>
  <si>
    <t>FRD Uncertainty</t>
  </si>
  <si>
    <t>Settlement</t>
  </si>
  <si>
    <t>Allocation</t>
  </si>
  <si>
    <t>Allocated costs of upward ramping capability procured to meet uncertainty requirement. Based on resource's contribution to uncertainty.</t>
  </si>
  <si>
    <t>Allocated costs of downward ramping capability procured to meet uncertainty requirement. Based on resource's contribution to uncertainty.</t>
  </si>
  <si>
    <t>Credit to RA resource that exceeds the upper tolerance band for the monthly Availability Standard or charge if below target. Credit is only available if payments were collected from RA resources that failed to meet the Availability Standard.</t>
  </si>
  <si>
    <t>AS No Pay / Award (%)</t>
  </si>
  <si>
    <t>Q</t>
  </si>
  <si>
    <t>Positive $ value = Credit</t>
  </si>
  <si>
    <t>Net No Pay for all AS products divided by the total awarded amount of AS. Column J divided by Columns E-H.</t>
  </si>
  <si>
    <t>Uninstructed MWh / Output MWh (%)</t>
  </si>
  <si>
    <t>R</t>
  </si>
  <si>
    <t>Sum of UIE By Total Output</t>
  </si>
  <si>
    <t>Sum of No Pay Percentage ABS</t>
  </si>
  <si>
    <t>Uninstructed MWh / Output MWh</t>
  </si>
  <si>
    <t>Shasta - Hydro</t>
  </si>
  <si>
    <t>Hat Creek 1</t>
  </si>
  <si>
    <t>Hat Creek 2</t>
  </si>
  <si>
    <t>Pit 1 U1</t>
  </si>
  <si>
    <t>Pit 1 U2</t>
  </si>
  <si>
    <t>Pit 3 U1-U3</t>
  </si>
  <si>
    <t>Pit 4 U1 and U2</t>
  </si>
  <si>
    <t>Pit 5 U1 and U2</t>
  </si>
  <si>
    <t>Pit 5 U3 and U4</t>
  </si>
  <si>
    <t>James B Black U1</t>
  </si>
  <si>
    <t>James B Black U2</t>
  </si>
  <si>
    <t>Pit 6 U1</t>
  </si>
  <si>
    <t>Pit 6 U2</t>
  </si>
  <si>
    <t>Pit 7 U1</t>
  </si>
  <si>
    <t>Pit 7 U2</t>
  </si>
  <si>
    <t>Coleman</t>
  </si>
  <si>
    <t>Cow Creek U1 and U2</t>
  </si>
  <si>
    <t>Inskip</t>
  </si>
  <si>
    <t>Kilarc U1 and U2</t>
  </si>
  <si>
    <t>South</t>
  </si>
  <si>
    <t>Volta 1</t>
  </si>
  <si>
    <t>Volta 2</t>
  </si>
  <si>
    <t>DeSabla - Hydro</t>
  </si>
  <si>
    <t>Hamilton Branch U1 and U2</t>
  </si>
  <si>
    <t>Butt Valley</t>
  </si>
  <si>
    <t>Caribou 1 U1</t>
  </si>
  <si>
    <t>Caribou 1 U2 and U3</t>
  </si>
  <si>
    <t>Caribou 2 U4 and U5</t>
  </si>
  <si>
    <t>Oak Flat</t>
  </si>
  <si>
    <t>Belden</t>
  </si>
  <si>
    <t>Rock Creek U1</t>
  </si>
  <si>
    <t>Rock Creek U2</t>
  </si>
  <si>
    <t>Bucks Creek U1 and U2</t>
  </si>
  <si>
    <t>Cresta U1 and U2</t>
  </si>
  <si>
    <t>Poe U1</t>
  </si>
  <si>
    <t>Poe U2</t>
  </si>
  <si>
    <t>Potter Valley U1-U3</t>
  </si>
  <si>
    <t>Toadtown</t>
  </si>
  <si>
    <t>DeSabla</t>
  </si>
  <si>
    <t>Centerville U1 and U2</t>
  </si>
  <si>
    <t>Lime Saddle U1 andU2</t>
  </si>
  <si>
    <t>Central Hydro</t>
  </si>
  <si>
    <t>Narrows</t>
  </si>
  <si>
    <t>Spaulding 1 and 2</t>
  </si>
  <si>
    <t>Spaulding 3</t>
  </si>
  <si>
    <t>Deer Creek</t>
  </si>
  <si>
    <t>Drum 1 U1 and U2</t>
  </si>
  <si>
    <t>Drum 1 U3 and U4</t>
  </si>
  <si>
    <t>Drum 2 U5</t>
  </si>
  <si>
    <t>Alta Powerhouse</t>
  </si>
  <si>
    <t>Dutch Flat 1</t>
  </si>
  <si>
    <t>Halsey</t>
  </si>
  <si>
    <t>Wise 1</t>
  </si>
  <si>
    <t>Wise 2</t>
  </si>
  <si>
    <t>Newcastle</t>
  </si>
  <si>
    <t>Chili Bar</t>
  </si>
  <si>
    <t>Salt Springs 1 and 2</t>
  </si>
  <si>
    <t>Tiger Creek U1 and U2</t>
  </si>
  <si>
    <t>West Point</t>
  </si>
  <si>
    <t>Electra U1-U3</t>
  </si>
  <si>
    <t>Spring Gap</t>
  </si>
  <si>
    <t>Stanislaus</t>
  </si>
  <si>
    <t>Phoenix</t>
  </si>
  <si>
    <t>Merced Falls</t>
  </si>
  <si>
    <t>Kings-Crane Valley - Hydro</t>
  </si>
  <si>
    <t>Haas U1, Haas U2</t>
  </si>
  <si>
    <t>Balch 1</t>
  </si>
  <si>
    <t>Balch 2 U2</t>
  </si>
  <si>
    <t>Balch 2 U3</t>
  </si>
  <si>
    <t>Kings River</t>
  </si>
  <si>
    <t>Crane Valley</t>
  </si>
  <si>
    <t>San Joaquin 1A, AG Wishon U1-U4</t>
  </si>
  <si>
    <t>San Joaquin 2</t>
  </si>
  <si>
    <t>San Joaquin 3</t>
  </si>
  <si>
    <t>Kerckhoff 1 U1</t>
  </si>
  <si>
    <t>Kerckhoff 1 U3</t>
  </si>
  <si>
    <t>Kerckhoff 2</t>
  </si>
  <si>
    <t>Tule River U1 and U2</t>
  </si>
  <si>
    <t>Kern Canyon</t>
  </si>
  <si>
    <t>Helms - Hydro</t>
  </si>
  <si>
    <t>Helms U1</t>
  </si>
  <si>
    <t>Helms U1 - Pump</t>
  </si>
  <si>
    <t>Helms U2</t>
  </si>
  <si>
    <t>Helms U2 - Pump</t>
  </si>
  <si>
    <t>Helms U3</t>
  </si>
  <si>
    <t>Helms U3 - Pump</t>
  </si>
  <si>
    <t>Diablo Canyon</t>
  </si>
  <si>
    <t>Diablo Canyon Unit 1</t>
  </si>
  <si>
    <t>Diablo Canyon Unit 2</t>
  </si>
  <si>
    <t>Fossil</t>
  </si>
  <si>
    <t>Humboldt Bay Generating Station 1&amp;2</t>
  </si>
  <si>
    <t>Humboldt Bay Generating Station 3</t>
  </si>
  <si>
    <t>Colusa Generating Station</t>
  </si>
  <si>
    <t>Gateway Generating Station</t>
  </si>
  <si>
    <t>Solar</t>
  </si>
  <si>
    <t>Cantua</t>
  </si>
  <si>
    <t>Five Points</t>
  </si>
  <si>
    <t>Gates Solar Station</t>
  </si>
  <si>
    <t>Guernsey Solar Station</t>
  </si>
  <si>
    <t>Giffen</t>
  </si>
  <si>
    <t>Huron</t>
  </si>
  <si>
    <t>Stroud</t>
  </si>
  <si>
    <t>Vaca Dixon Solar Station</t>
  </si>
  <si>
    <t>West Gates Solar Station</t>
  </si>
  <si>
    <t>Westside</t>
  </si>
  <si>
    <t>Fuel Cell</t>
  </si>
  <si>
    <t>CSU East Bay Fuel Cells</t>
  </si>
  <si>
    <t>SF State Fuel Cells</t>
  </si>
  <si>
    <t>Area</t>
  </si>
  <si>
    <t>HATCR1_7_UNIT</t>
  </si>
  <si>
    <t>HATCR2_7_UNIT</t>
  </si>
  <si>
    <t>PIT1_7_UNIT 1</t>
  </si>
  <si>
    <t>Y</t>
  </si>
  <si>
    <t>PIT1_7_UNIT 2</t>
  </si>
  <si>
    <t>PIT3_7_PL1X3</t>
  </si>
  <si>
    <t>PIT4_7_PL1X2</t>
  </si>
  <si>
    <t>PIT5_7_PL1X2</t>
  </si>
  <si>
    <t>PIT5_7_PL3X4</t>
  </si>
  <si>
    <t>BLACK_7_UNIT 1</t>
  </si>
  <si>
    <t>BLACK_7_UNIT 2</t>
  </si>
  <si>
    <t>PIT6_7_UNIT 1</t>
  </si>
  <si>
    <t>PIT6_7_UNIT 2</t>
  </si>
  <si>
    <t>PIT7_7_UNIT 1</t>
  </si>
  <si>
    <t>PIT7_7_UNIT 2</t>
  </si>
  <si>
    <t>COLEMN_2_UNIT</t>
  </si>
  <si>
    <t>COWCRK_2_UNIT</t>
  </si>
  <si>
    <t>INSKIP_2_UNIT</t>
  </si>
  <si>
    <t>KILARC_2_UNIT 1</t>
  </si>
  <si>
    <t>SOUTH_2_UNIT</t>
  </si>
  <si>
    <t>VOLTA_2_UNIT 1</t>
  </si>
  <si>
    <t>VOLTA_2_UNIT 2</t>
  </si>
  <si>
    <t>HMLTBR_6_UNITS</t>
  </si>
  <si>
    <t>BUTTVL_7_UNIT 1</t>
  </si>
  <si>
    <t>CARBOU_7_UNIT 1</t>
  </si>
  <si>
    <t>CARBOU_7_PL2X3</t>
  </si>
  <si>
    <t>CARBOU_7_PL4X5</t>
  </si>
  <si>
    <t>BUCKCK_7_OAKFLT</t>
  </si>
  <si>
    <t>BELDEN_7_UNIT 1</t>
  </si>
  <si>
    <t>RCKCRK_7_UNIT 1</t>
  </si>
  <si>
    <t>RCKCRK_7_UNIT 2</t>
  </si>
  <si>
    <t>BUCKCK_7_PL1X2</t>
  </si>
  <si>
    <t>CRESTA_7_PL1X2</t>
  </si>
  <si>
    <t>POEPH_7_UNIT 1</t>
  </si>
  <si>
    <t>POEPH_7_UNIT 2</t>
  </si>
  <si>
    <t>POTTER_6_UNITS</t>
  </si>
  <si>
    <t>TOADTW_6_UNIT</t>
  </si>
  <si>
    <t>DSABLA_7_UNIT</t>
  </si>
  <si>
    <t>CNTRVL_6_UNIT</t>
  </si>
  <si>
    <t>CLRKRD_6_LIMESD</t>
  </si>
  <si>
    <t>NAROW1_2_UNIT</t>
  </si>
  <si>
    <t>SPAULD_6_UNIT12</t>
  </si>
  <si>
    <t>SPAULD_6_UNIT 3</t>
  </si>
  <si>
    <t>DEERCR_6_UNIT 1</t>
  </si>
  <si>
    <t>DRUM_7_PL1X2</t>
  </si>
  <si>
    <t>DRUM_7_PL3X4</t>
  </si>
  <si>
    <t>DRUM_7_UNIT 5</t>
  </si>
  <si>
    <t>BNNIEN_7_ALTAPH</t>
  </si>
  <si>
    <t>DUTCH1_7_UNIT 1</t>
  </si>
  <si>
    <t>HALSEY_6_UNIT</t>
  </si>
  <si>
    <t>WISE_1_UNIT 1</t>
  </si>
  <si>
    <t>WISE_1_UNIT 2</t>
  </si>
  <si>
    <t>NWCSTL_7_UNIT 1</t>
  </si>
  <si>
    <t>PLACVL_1_CHILIB</t>
  </si>
  <si>
    <t>SALTSP_7_UNITS</t>
  </si>
  <si>
    <t>TIGRCK_7_UNITS</t>
  </si>
  <si>
    <t>WESTPT_2_UNIT</t>
  </si>
  <si>
    <t>ELECTR_7_PL1X3</t>
  </si>
  <si>
    <t>SPRGAP_1_UNIT 1</t>
  </si>
  <si>
    <t>STANIS_7_UNIT 1</t>
  </si>
  <si>
    <t>PHOENX_1_UNIT</t>
  </si>
  <si>
    <t>MERCFL_6_UNIT</t>
  </si>
  <si>
    <t>HAASPH_7_PL1X2</t>
  </si>
  <si>
    <t>BALCHS_7_UNIT 1</t>
  </si>
  <si>
    <t>BALCHS_7_UNIT 2</t>
  </si>
  <si>
    <t>BALCHS_7_UNIT 3</t>
  </si>
  <si>
    <t>KINGRV_7_UNIT 1</t>
  </si>
  <si>
    <t>CRNEVL_6_CRNVA</t>
  </si>
  <si>
    <t>WISHON_6_UNITS</t>
  </si>
  <si>
    <t>CRNEVL_6_SJQN 2</t>
  </si>
  <si>
    <t>CRNEVL_6_SJQN 3</t>
  </si>
  <si>
    <t>KERKH1_7_UNIT 1</t>
  </si>
  <si>
    <t>KERKH1_7_UNIT 3</t>
  </si>
  <si>
    <t>KERKH2_7_UNIT 1</t>
  </si>
  <si>
    <t>SPRGVL_2_TULE</t>
  </si>
  <si>
    <t>KRNCNY_6_UNIT</t>
  </si>
  <si>
    <t>HELMPG_7_UNIT 1</t>
  </si>
  <si>
    <t>LOAD</t>
  </si>
  <si>
    <t>HELMPG_7_UNIT 2</t>
  </si>
  <si>
    <t>HELMPG_7_UNIT 3</t>
  </si>
  <si>
    <t>DIABLO_7_UNIT 1</t>
  </si>
  <si>
    <t>DIABLO_7_UNIT 2</t>
  </si>
  <si>
    <t>HUMBPP_6_UNITS</t>
  </si>
  <si>
    <t>HUMBPP_1_UNITS3</t>
  </si>
  <si>
    <t>COLUSA_2_PL1X3</t>
  </si>
  <si>
    <t>GATWAY_2_PL1X3</t>
  </si>
  <si>
    <t>CANTUA_1_SOLAR</t>
  </si>
  <si>
    <t>SCHNDR_1_FIVPTS</t>
  </si>
  <si>
    <t>GATES_2_SOLAR</t>
  </si>
  <si>
    <t>GUERNS_6_SOLAR</t>
  </si>
  <si>
    <t>GIFFEN_6_SOLAR</t>
  </si>
  <si>
    <t>HURON_6_SOLAR</t>
  </si>
  <si>
    <t>STROUD_6_SOLAR</t>
  </si>
  <si>
    <t>VACADX_1_SOLAR</t>
  </si>
  <si>
    <t>GATES_2_WSOLAR</t>
  </si>
  <si>
    <t>SCHNDR_1_WSTSDE</t>
  </si>
  <si>
    <t>CASTVL_2_FCELL</t>
  </si>
  <si>
    <t>DALYCT_1_FCELL</t>
  </si>
  <si>
    <t>VACADX_1_NAS</t>
  </si>
  <si>
    <t>Vaca Dixon Battery</t>
  </si>
  <si>
    <t>SWIFT_1_NAS</t>
  </si>
  <si>
    <t>Yerba Buena Battery</t>
  </si>
  <si>
    <t>Motoring (Hydro)</t>
  </si>
  <si>
    <t>Quantity</t>
  </si>
  <si>
    <t>Settlement Amount</t>
  </si>
  <si>
    <t>RT Dispatch Quantity</t>
  </si>
  <si>
    <t>RT Dispatch Settlement Amount</t>
  </si>
  <si>
    <t>S</t>
  </si>
  <si>
    <t>T</t>
  </si>
  <si>
    <t>U</t>
  </si>
  <si>
    <t>V</t>
  </si>
  <si>
    <t>QTY_MOTOR</t>
  </si>
  <si>
    <t>AMT_MOTOR</t>
  </si>
  <si>
    <t>QTY_MOTOR_TO_DSP</t>
  </si>
  <si>
    <t>AMT_MOTOR_TO_DSP</t>
  </si>
  <si>
    <t>Sum of QTY_MOTOR</t>
  </si>
  <si>
    <t>Sum of AMT_MOTOR</t>
  </si>
  <si>
    <t>Sum of QTY_MOTOR_TO_DSP</t>
  </si>
  <si>
    <t>Sum of AMT_MOTOR_TO_DSP</t>
  </si>
  <si>
    <t>Motoring</t>
  </si>
  <si>
    <t xml:space="preserve">Quantity </t>
  </si>
  <si>
    <t>The Meter quantity when there isn't a DA or RT schedule which is attributed to motoring.</t>
  </si>
  <si>
    <t xml:space="preserve">Settlement Amount (No DA Sched or RT Instruction) </t>
  </si>
  <si>
    <t>The deviation charge for metering when there isn't a DA or RT schedule which is attributed to cost of motoring.</t>
  </si>
  <si>
    <t xml:space="preserve">RT Dispatch Quantity (No DA w/ RT Instruction) </t>
  </si>
  <si>
    <t>Real time quantity dispatched due to: Price spike, schedule change, or ramping</t>
  </si>
  <si>
    <t xml:space="preserve">RT Dispatch Settlement Amount (No DA w/ RT Instruction) </t>
  </si>
  <si>
    <t>Real time settlement amount due to: Price spike, schedule change, or ramping</t>
  </si>
  <si>
    <t>AS Spin Award</t>
  </si>
  <si>
    <t>AS Non-Spin Award</t>
  </si>
  <si>
    <t>AS Regulation Up Award</t>
  </si>
  <si>
    <t>AS Regulation Down Award</t>
  </si>
  <si>
    <t>RTM</t>
  </si>
  <si>
    <t>Fifteen Minute Market + Real Time</t>
  </si>
  <si>
    <t>DA MWh
(Net)</t>
  </si>
  <si>
    <t>RTM MWh
(Net)</t>
  </si>
  <si>
    <t>TOTAL_DA_MWH</t>
  </si>
  <si>
    <t>TOTAL_RTM_MWH</t>
  </si>
  <si>
    <t>Sum of TOTAL_DA_MWH</t>
  </si>
  <si>
    <t>Sum of TOTAL_RTM_MWH</t>
  </si>
  <si>
    <t>W</t>
  </si>
  <si>
    <t>X</t>
  </si>
  <si>
    <t>(K+X)</t>
  </si>
  <si>
    <t>DA MWh (Net)</t>
  </si>
  <si>
    <t>Net MWh awarded in the Day Ahead Market</t>
  </si>
  <si>
    <t>RTM MWh (Net)</t>
  </si>
  <si>
    <t>Net MWH awarded in the FMM and RT Markets</t>
  </si>
  <si>
    <t xml:space="preserve">Settlement amount (credit or charge) for deviating from final schedule </t>
  </si>
  <si>
    <t>Sum of CC7088</t>
  </si>
  <si>
    <t>Sum of RAAIM</t>
  </si>
  <si>
    <t>Energy Storage</t>
  </si>
  <si>
    <t>Utility Owned Generation Settlements Report: October-2017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</si>
</sst>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6" formatCode="&quot;$&quot;#,##0_);[Red]\(&quot;$&quot;#,##0\)"/>
    <numFmt numFmtId="43" formatCode="_(* #,##0.00_);_(* \(#,##0.00\);_(* &quot;-&quot;??_);_(@_)"/>
    <numFmt numFmtId="164" formatCode="0_);[Red]\(0\)"/>
  </numFmts>
  <fonts count="11" x14ac:knownFonts="1">
    <font>
      <sz val="11"/>
      <color theme="1"/>
      <name val="Calibri"/>
      <family val="2"/>
      <scheme val="minor"/>
    </font>
    <font>
      <b/>
      <sz val="11"/>
      <color theme="1"/>
      <name val="Calibri"/>
      <family val="2"/>
      <scheme val="minor"/>
    </font>
    <font>
      <b/>
      <sz val="12"/>
      <color rgb="FF000000"/>
      <name val="Calibri"/>
      <family val="2"/>
    </font>
    <font>
      <b/>
      <sz val="22"/>
      <color theme="1"/>
      <name val="Calibri"/>
      <family val="2"/>
      <scheme val="minor"/>
    </font>
    <font>
      <b/>
      <sz val="11"/>
      <color rgb="FFFF0000"/>
      <name val="Calibri"/>
      <family val="2"/>
      <scheme val="minor"/>
    </font>
    <font>
      <sz val="12"/>
      <color rgb="FF000000"/>
      <name val="Calibri"/>
      <family val="2"/>
    </font>
    <font>
      <sz val="12"/>
      <color rgb="FF000000"/>
      <name val="Arial"/>
      <family val="2"/>
    </font>
    <font>
      <sz val="11"/>
      <color theme="1"/>
      <name val="Calibri"/>
      <family val="2"/>
      <scheme val="minor"/>
    </font>
    <font>
      <b/>
      <sz val="11"/>
      <name val="Calibri"/>
      <family val="2"/>
      <scheme val="minor"/>
    </font>
    <font>
      <sz val="11"/>
      <name val="Calibri"/>
      <family val="2"/>
      <scheme val="minor"/>
    </font>
    <font>
      <sz val="12"/>
      <color rgb="FF000000"/>
      <name val="Calibri"/>
      <family val="2"/>
      <scheme val="minor"/>
    </font>
  </fonts>
  <fills count="18">
    <fill>
      <patternFill patternType="none"/>
    </fill>
    <fill>
      <patternFill patternType="gray125"/>
    </fill>
    <fill>
      <patternFill patternType="solid">
        <fgColor theme="7"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7" tint="0.39997558519241921"/>
        <bgColor indexed="64"/>
      </patternFill>
    </fill>
    <fill>
      <patternFill patternType="solid">
        <fgColor theme="9" tint="0.79998168889431442"/>
        <bgColor indexed="64"/>
      </patternFill>
    </fill>
    <fill>
      <patternFill patternType="solid">
        <fgColor theme="2"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7" tint="0.59999389629810485"/>
        <bgColor indexed="64"/>
      </patternFill>
    </fill>
  </fills>
  <borders count="5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theme="0" tint="-0.499984740745262"/>
      </top>
      <bottom style="thin">
        <color theme="0" tint="-0.499984740745262"/>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top style="thin">
        <color indexed="64"/>
      </top>
      <bottom style="thin">
        <color indexed="64"/>
      </bottom>
      <diagonal/>
    </border>
    <border>
      <left style="thin">
        <color indexed="64"/>
      </left>
      <right style="thin">
        <color indexed="64"/>
      </right>
      <top/>
      <bottom/>
      <diagonal/>
    </border>
    <border>
      <left/>
      <right style="medium">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theme="0" tint="-0.499984740745262"/>
      </bottom>
      <diagonal/>
    </border>
    <border>
      <left style="thin">
        <color indexed="64"/>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top style="thin">
        <color indexed="64"/>
      </top>
      <bottom/>
      <diagonal/>
    </border>
    <border>
      <left/>
      <right style="thin">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s>
  <cellStyleXfs count="3">
    <xf numFmtId="0" fontId="0" fillId="0" borderId="0"/>
    <xf numFmtId="43" fontId="7" fillId="0" borderId="0" applyFont="0" applyFill="0" applyBorder="0" applyAlignment="0" applyProtection="0"/>
    <xf numFmtId="9" fontId="7" fillId="0" borderId="0" applyFont="0" applyFill="0" applyBorder="0" applyAlignment="0" applyProtection="0"/>
  </cellStyleXfs>
  <cellXfs count="217">
    <xf numFmtId="0" fontId="0" fillId="0" borderId="0" xfId="0"/>
    <xf numFmtId="0" fontId="1" fillId="0" borderId="0" xfId="0" applyFont="1"/>
    <xf numFmtId="0" fontId="0" fillId="0" borderId="0" xfId="0" pivotButton="1"/>
    <xf numFmtId="0" fontId="0" fillId="0" borderId="0" xfId="0" applyAlignment="1">
      <alignment horizontal="left"/>
    </xf>
    <xf numFmtId="0" fontId="0" fillId="0" borderId="0" xfId="0" applyAlignment="1">
      <alignment horizontal="left" indent="1"/>
    </xf>
    <xf numFmtId="6" fontId="0" fillId="0" borderId="0" xfId="0" applyNumberFormat="1"/>
    <xf numFmtId="0" fontId="0" fillId="0" borderId="0" xfId="0"/>
    <xf numFmtId="38" fontId="0" fillId="0" borderId="0" xfId="0" applyNumberFormat="1"/>
    <xf numFmtId="0" fontId="0" fillId="0" borderId="0" xfId="0" applyFont="1"/>
    <xf numFmtId="0" fontId="0" fillId="0" borderId="0" xfId="0" applyFill="1"/>
    <xf numFmtId="0" fontId="0" fillId="0" borderId="7" xfId="0" applyFont="1" applyFill="1" applyBorder="1" applyAlignment="1">
      <alignment horizontal="center" vertical="center" wrapText="1"/>
    </xf>
    <xf numFmtId="0" fontId="0" fillId="0" borderId="0" xfId="0" applyFont="1" applyFill="1" applyAlignment="1">
      <alignment wrapText="1"/>
    </xf>
    <xf numFmtId="0" fontId="0" fillId="0" borderId="8" xfId="0" applyFont="1" applyFill="1" applyBorder="1" applyAlignment="1">
      <alignment horizontal="center" vertical="center"/>
    </xf>
    <xf numFmtId="0" fontId="0" fillId="0" borderId="0" xfId="0" applyFont="1" applyFill="1"/>
    <xf numFmtId="0" fontId="0" fillId="0" borderId="8" xfId="0" applyFill="1" applyBorder="1" applyAlignment="1">
      <alignment horizontal="center" vertical="center" wrapText="1"/>
    </xf>
    <xf numFmtId="0" fontId="0" fillId="0" borderId="0" xfId="0" applyFill="1" applyAlignment="1">
      <alignment horizontal="center" vertical="top" wrapText="1"/>
    </xf>
    <xf numFmtId="0" fontId="1" fillId="6" borderId="21" xfId="0" applyFont="1" applyFill="1" applyBorder="1" applyAlignment="1">
      <alignment horizontal="center" vertical="center"/>
    </xf>
    <xf numFmtId="0" fontId="1" fillId="0" borderId="0" xfId="0" applyFont="1" applyFill="1"/>
    <xf numFmtId="0" fontId="0" fillId="0" borderId="21" xfId="0" applyFont="1" applyFill="1" applyBorder="1" applyAlignment="1">
      <alignment horizontal="center" vertical="center"/>
    </xf>
    <xf numFmtId="6" fontId="0" fillId="0" borderId="14" xfId="0" applyNumberFormat="1" applyFont="1" applyFill="1" applyBorder="1" applyAlignment="1">
      <alignment horizontal="center" vertical="center"/>
    </xf>
    <xf numFmtId="6" fontId="1" fillId="6" borderId="14" xfId="0" applyNumberFormat="1" applyFont="1" applyFill="1" applyBorder="1" applyAlignment="1">
      <alignment horizontal="center" vertical="center"/>
    </xf>
    <xf numFmtId="6" fontId="1" fillId="6" borderId="29" xfId="0" applyNumberFormat="1" applyFont="1" applyFill="1" applyBorder="1" applyAlignment="1">
      <alignment horizontal="center" vertical="center"/>
    </xf>
    <xf numFmtId="6" fontId="1" fillId="6" borderId="5" xfId="0" applyNumberFormat="1" applyFont="1" applyFill="1" applyBorder="1" applyAlignment="1">
      <alignment horizontal="center" vertical="center"/>
    </xf>
    <xf numFmtId="0" fontId="0" fillId="0" borderId="0" xfId="0" applyAlignment="1">
      <alignment horizontal="center" vertical="center"/>
    </xf>
    <xf numFmtId="38" fontId="0" fillId="0" borderId="0" xfId="0" applyNumberFormat="1" applyAlignment="1">
      <alignment horizontal="center" vertical="center"/>
    </xf>
    <xf numFmtId="6" fontId="0" fillId="0" borderId="0" xfId="0" applyNumberFormat="1" applyAlignment="1">
      <alignment horizontal="center" vertical="center"/>
    </xf>
    <xf numFmtId="0" fontId="6" fillId="0" borderId="0" xfId="0" applyFont="1" applyBorder="1" applyAlignment="1">
      <alignment horizontal="left" wrapText="1" readingOrder="1"/>
    </xf>
    <xf numFmtId="6" fontId="6" fillId="0" borderId="0" xfId="0" applyNumberFormat="1" applyFont="1" applyBorder="1" applyAlignment="1">
      <alignment horizontal="center" vertical="center" wrapText="1"/>
    </xf>
    <xf numFmtId="6" fontId="5" fillId="0" borderId="0" xfId="0" applyNumberFormat="1" applyFont="1" applyBorder="1" applyAlignment="1">
      <alignment horizontal="center" vertical="center"/>
    </xf>
    <xf numFmtId="38" fontId="0" fillId="0" borderId="13" xfId="0" applyNumberFormat="1" applyFont="1" applyFill="1" applyBorder="1" applyAlignment="1">
      <alignment horizontal="center" vertical="center"/>
    </xf>
    <xf numFmtId="38" fontId="1" fillId="6" borderId="13" xfId="0" applyNumberFormat="1" applyFont="1" applyFill="1" applyBorder="1" applyAlignment="1">
      <alignment horizontal="center" vertical="center"/>
    </xf>
    <xf numFmtId="6" fontId="1" fillId="6" borderId="28" xfId="0" applyNumberFormat="1" applyFont="1" applyFill="1" applyBorder="1" applyAlignment="1">
      <alignment horizontal="center" vertical="center"/>
    </xf>
    <xf numFmtId="0" fontId="0" fillId="7" borderId="14" xfId="0" applyFill="1" applyBorder="1" applyAlignment="1">
      <alignment horizontal="center"/>
    </xf>
    <xf numFmtId="0" fontId="0" fillId="0" borderId="0" xfId="0" applyAlignment="1">
      <alignment horizontal="center"/>
    </xf>
    <xf numFmtId="40" fontId="0" fillId="0" borderId="0" xfId="0" applyNumberFormat="1" applyAlignment="1">
      <alignment horizontal="center"/>
    </xf>
    <xf numFmtId="38" fontId="0" fillId="0" borderId="0" xfId="0" applyNumberFormat="1" applyAlignment="1">
      <alignment horizontal="center"/>
    </xf>
    <xf numFmtId="0" fontId="0" fillId="0" borderId="0" xfId="0" quotePrefix="1" applyAlignment="1">
      <alignment horizontal="center"/>
    </xf>
    <xf numFmtId="38" fontId="2" fillId="11" borderId="32" xfId="0" applyNumberFormat="1" applyFont="1" applyFill="1" applyBorder="1" applyAlignment="1">
      <alignment horizontal="center" vertical="center" wrapText="1"/>
    </xf>
    <xf numFmtId="0" fontId="5" fillId="12" borderId="19" xfId="0" applyFont="1" applyFill="1" applyBorder="1" applyAlignment="1">
      <alignment horizontal="left" vertical="center" wrapText="1" readingOrder="1"/>
    </xf>
    <xf numFmtId="0" fontId="5" fillId="12" borderId="20" xfId="0" applyFont="1" applyFill="1" applyBorder="1" applyAlignment="1">
      <alignment horizontal="left" vertical="center" wrapText="1" readingOrder="1"/>
    </xf>
    <xf numFmtId="0" fontId="5" fillId="12" borderId="23" xfId="0" applyFont="1" applyFill="1" applyBorder="1" applyAlignment="1">
      <alignment horizontal="left" vertical="center" wrapText="1" readingOrder="1"/>
    </xf>
    <xf numFmtId="6" fontId="1" fillId="6" borderId="6" xfId="0" applyNumberFormat="1" applyFont="1" applyFill="1" applyBorder="1" applyAlignment="1">
      <alignment horizontal="center" vertical="center" wrapText="1"/>
    </xf>
    <xf numFmtId="0" fontId="0" fillId="0" borderId="6" xfId="0" applyFont="1" applyFill="1" applyBorder="1" applyAlignment="1">
      <alignment vertical="center" wrapText="1"/>
    </xf>
    <xf numFmtId="6" fontId="1" fillId="6" borderId="39" xfId="0" applyNumberFormat="1" applyFont="1" applyFill="1" applyBorder="1" applyAlignment="1">
      <alignment horizontal="center" vertical="center" wrapText="1"/>
    </xf>
    <xf numFmtId="38" fontId="1" fillId="6" borderId="39" xfId="0" applyNumberFormat="1" applyFont="1" applyFill="1" applyBorder="1" applyAlignment="1">
      <alignment horizontal="center" vertical="center" wrapText="1"/>
    </xf>
    <xf numFmtId="6" fontId="1" fillId="6" borderId="30" xfId="0" applyNumberFormat="1" applyFont="1" applyFill="1" applyBorder="1" applyAlignment="1">
      <alignment horizontal="center" vertical="center" wrapText="1"/>
    </xf>
    <xf numFmtId="38" fontId="1" fillId="6" borderId="28" xfId="0" applyNumberFormat="1" applyFont="1" applyFill="1" applyBorder="1" applyAlignment="1">
      <alignment horizontal="center" vertical="center" wrapText="1"/>
    </xf>
    <xf numFmtId="0" fontId="0" fillId="0" borderId="50" xfId="0" applyFill="1" applyBorder="1" applyAlignment="1">
      <alignment horizontal="center" vertical="center" wrapText="1"/>
    </xf>
    <xf numFmtId="6" fontId="0" fillId="5" borderId="17" xfId="0" applyNumberFormat="1" applyFont="1" applyFill="1" applyBorder="1" applyAlignment="1">
      <alignment horizontal="center" vertical="center"/>
    </xf>
    <xf numFmtId="6" fontId="1" fillId="10" borderId="17" xfId="0" applyNumberFormat="1" applyFont="1" applyFill="1" applyBorder="1" applyAlignment="1">
      <alignment horizontal="center" vertical="center"/>
    </xf>
    <xf numFmtId="6" fontId="0" fillId="9" borderId="42" xfId="0" applyNumberFormat="1" applyFont="1" applyFill="1" applyBorder="1" applyAlignment="1">
      <alignment horizontal="center" vertical="center"/>
    </xf>
    <xf numFmtId="6" fontId="1" fillId="4" borderId="3" xfId="0" applyNumberFormat="1" applyFont="1" applyFill="1" applyBorder="1" applyAlignment="1">
      <alignment horizontal="center" vertical="center"/>
    </xf>
    <xf numFmtId="6" fontId="1" fillId="4" borderId="41" xfId="0" applyNumberFormat="1" applyFont="1" applyFill="1" applyBorder="1" applyAlignment="1">
      <alignment horizontal="center" vertical="center"/>
    </xf>
    <xf numFmtId="6" fontId="1" fillId="3" borderId="15" xfId="0" applyNumberFormat="1" applyFont="1" applyFill="1" applyBorder="1" applyAlignment="1">
      <alignment horizontal="center" vertical="center"/>
    </xf>
    <xf numFmtId="6" fontId="1" fillId="3" borderId="30" xfId="0" applyNumberFormat="1" applyFont="1" applyFill="1" applyBorder="1" applyAlignment="1">
      <alignment horizontal="center" vertical="center"/>
    </xf>
    <xf numFmtId="6" fontId="0" fillId="14" borderId="15" xfId="0" applyNumberFormat="1" applyFont="1" applyFill="1" applyBorder="1" applyAlignment="1">
      <alignment horizontal="center" vertical="center"/>
    </xf>
    <xf numFmtId="38" fontId="0" fillId="0" borderId="0" xfId="1" applyNumberFormat="1" applyFont="1"/>
    <xf numFmtId="38" fontId="5" fillId="12" borderId="0" xfId="0" applyNumberFormat="1" applyFont="1" applyFill="1" applyBorder="1" applyAlignment="1">
      <alignment horizontal="center" vertical="center" wrapText="1"/>
    </xf>
    <xf numFmtId="6" fontId="5" fillId="0" borderId="0" xfId="0" applyNumberFormat="1" applyFont="1" applyFill="1" applyBorder="1" applyAlignment="1">
      <alignment horizontal="center" vertical="center" wrapText="1" readingOrder="1"/>
    </xf>
    <xf numFmtId="6" fontId="1" fillId="6" borderId="22" xfId="0" applyNumberFormat="1" applyFont="1" applyFill="1" applyBorder="1" applyAlignment="1">
      <alignment horizontal="center" vertical="center" wrapText="1"/>
    </xf>
    <xf numFmtId="38" fontId="1" fillId="6" borderId="29" xfId="0" applyNumberFormat="1" applyFont="1" applyFill="1" applyBorder="1" applyAlignment="1">
      <alignment horizontal="center" vertical="center" wrapText="1"/>
    </xf>
    <xf numFmtId="38" fontId="1" fillId="6" borderId="12" xfId="0" applyNumberFormat="1" applyFont="1" applyFill="1" applyBorder="1" applyAlignment="1">
      <alignment horizontal="center" vertical="center" wrapText="1"/>
    </xf>
    <xf numFmtId="38" fontId="5" fillId="12" borderId="38" xfId="0" applyNumberFormat="1" applyFont="1" applyFill="1" applyBorder="1" applyAlignment="1">
      <alignment horizontal="center" vertical="center" wrapText="1"/>
    </xf>
    <xf numFmtId="38" fontId="5" fillId="12" borderId="35" xfId="0" applyNumberFormat="1" applyFont="1" applyFill="1" applyBorder="1" applyAlignment="1">
      <alignment horizontal="center" vertical="center" wrapText="1"/>
    </xf>
    <xf numFmtId="6" fontId="5" fillId="0" borderId="4" xfId="0" applyNumberFormat="1" applyFont="1" applyFill="1" applyBorder="1" applyAlignment="1">
      <alignment horizontal="center" vertical="center" wrapText="1" readingOrder="1"/>
    </xf>
    <xf numFmtId="38" fontId="5" fillId="12" borderId="20" xfId="0" applyNumberFormat="1" applyFont="1" applyFill="1" applyBorder="1" applyAlignment="1">
      <alignment horizontal="center" vertical="center" wrapText="1"/>
    </xf>
    <xf numFmtId="0" fontId="0" fillId="0" borderId="36" xfId="0" applyFill="1" applyBorder="1"/>
    <xf numFmtId="0" fontId="0" fillId="0" borderId="36" xfId="0" applyBorder="1"/>
    <xf numFmtId="38" fontId="1" fillId="10" borderId="14" xfId="0" applyNumberFormat="1" applyFont="1" applyFill="1" applyBorder="1" applyAlignment="1">
      <alignment horizontal="center" vertical="center" wrapText="1"/>
    </xf>
    <xf numFmtId="38" fontId="1" fillId="16" borderId="10" xfId="0" applyNumberFormat="1" applyFont="1" applyFill="1" applyBorder="1" applyAlignment="1">
      <alignment horizontal="center" vertical="center" wrapText="1"/>
    </xf>
    <xf numFmtId="38" fontId="1" fillId="16" borderId="22" xfId="0" applyNumberFormat="1" applyFont="1" applyFill="1" applyBorder="1" applyAlignment="1">
      <alignment horizontal="center" vertical="center" wrapText="1"/>
    </xf>
    <xf numFmtId="0" fontId="10" fillId="0" borderId="0" xfId="0" applyFont="1"/>
    <xf numFmtId="38" fontId="0" fillId="10" borderId="13" xfId="0" applyNumberFormat="1" applyFont="1" applyFill="1" applyBorder="1" applyAlignment="1">
      <alignment horizontal="center" vertical="center" wrapText="1"/>
    </xf>
    <xf numFmtId="38" fontId="0" fillId="16" borderId="10" xfId="0" applyNumberFormat="1" applyFont="1" applyFill="1" applyBorder="1" applyAlignment="1">
      <alignment horizontal="center" vertical="center" wrapText="1"/>
    </xf>
    <xf numFmtId="9" fontId="0" fillId="0" borderId="0" xfId="0" applyNumberFormat="1"/>
    <xf numFmtId="6" fontId="1" fillId="10" borderId="1" xfId="0" applyNumberFormat="1" applyFont="1" applyFill="1" applyBorder="1" applyAlignment="1">
      <alignment vertical="center"/>
    </xf>
    <xf numFmtId="6" fontId="1" fillId="10" borderId="3" xfId="0" applyNumberFormat="1" applyFont="1" applyFill="1" applyBorder="1" applyAlignment="1">
      <alignment vertical="center"/>
    </xf>
    <xf numFmtId="9" fontId="1" fillId="6" borderId="14" xfId="0" applyNumberFormat="1" applyFont="1" applyFill="1" applyBorder="1" applyAlignment="1">
      <alignment horizontal="center" vertical="center"/>
    </xf>
    <xf numFmtId="9" fontId="0" fillId="0" borderId="14" xfId="0" applyNumberFormat="1" applyFont="1" applyFill="1" applyBorder="1" applyAlignment="1">
      <alignment horizontal="center" vertical="center"/>
    </xf>
    <xf numFmtId="9" fontId="1" fillId="6" borderId="29" xfId="0" applyNumberFormat="1" applyFont="1" applyFill="1" applyBorder="1" applyAlignment="1">
      <alignment horizontal="center" vertical="center"/>
    </xf>
    <xf numFmtId="9" fontId="1" fillId="6" borderId="16" xfId="2" applyFont="1" applyFill="1" applyBorder="1" applyAlignment="1">
      <alignment horizontal="center" vertical="center"/>
    </xf>
    <xf numFmtId="9" fontId="0" fillId="0" borderId="16" xfId="2" applyFont="1" applyFill="1" applyBorder="1" applyAlignment="1">
      <alignment horizontal="center" vertical="center"/>
    </xf>
    <xf numFmtId="9" fontId="1" fillId="6" borderId="2" xfId="2" applyFont="1" applyFill="1" applyBorder="1" applyAlignment="1">
      <alignment horizontal="center" vertical="center"/>
    </xf>
    <xf numFmtId="6" fontId="5" fillId="0" borderId="52" xfId="0" applyNumberFormat="1" applyFont="1" applyFill="1" applyBorder="1" applyAlignment="1">
      <alignment horizontal="center" vertical="center" wrapText="1" readingOrder="1"/>
    </xf>
    <xf numFmtId="6" fontId="5" fillId="0" borderId="42" xfId="0" applyNumberFormat="1" applyFont="1" applyFill="1" applyBorder="1" applyAlignment="1">
      <alignment horizontal="center" vertical="center" wrapText="1" readingOrder="1"/>
    </xf>
    <xf numFmtId="1" fontId="0" fillId="0" borderId="15" xfId="0" applyNumberFormat="1" applyFont="1" applyFill="1" applyBorder="1" applyAlignment="1">
      <alignment horizontal="center" vertical="center"/>
    </xf>
    <xf numFmtId="0" fontId="0" fillId="0" borderId="14" xfId="0" applyFont="1" applyFill="1" applyBorder="1"/>
    <xf numFmtId="0" fontId="0" fillId="0" borderId="26" xfId="0" applyFont="1" applyFill="1" applyBorder="1"/>
    <xf numFmtId="0" fontId="0" fillId="0" borderId="10" xfId="0" applyFont="1" applyFill="1" applyBorder="1"/>
    <xf numFmtId="0" fontId="0" fillId="0" borderId="24" xfId="0" applyFont="1" applyFill="1" applyBorder="1"/>
    <xf numFmtId="0" fontId="0" fillId="8" borderId="14" xfId="0" applyFill="1" applyBorder="1" applyAlignment="1">
      <alignment horizontal="fill"/>
    </xf>
    <xf numFmtId="0" fontId="0" fillId="0" borderId="0" xfId="0" applyAlignment="1">
      <alignment horizontal="fill"/>
    </xf>
    <xf numFmtId="0" fontId="5" fillId="12" borderId="0" xfId="0" quotePrefix="1" applyFont="1" applyFill="1" applyBorder="1" applyAlignment="1">
      <alignment horizontal="center" vertical="center" wrapText="1" readingOrder="1"/>
    </xf>
    <xf numFmtId="40" fontId="0" fillId="0" borderId="0" xfId="0" applyNumberFormat="1"/>
    <xf numFmtId="38" fontId="1" fillId="6" borderId="55" xfId="0" applyNumberFormat="1" applyFont="1" applyFill="1" applyBorder="1" applyAlignment="1">
      <alignment horizontal="center" vertical="center"/>
    </xf>
    <xf numFmtId="0" fontId="0" fillId="0" borderId="0" xfId="0" applyNumberFormat="1"/>
    <xf numFmtId="0" fontId="5" fillId="12" borderId="0" xfId="0" applyFont="1" applyFill="1" applyBorder="1" applyAlignment="1">
      <alignment horizontal="center" vertical="center" wrapText="1" readingOrder="1"/>
    </xf>
    <xf numFmtId="6" fontId="1" fillId="6" borderId="1" xfId="0" applyNumberFormat="1" applyFont="1" applyFill="1" applyBorder="1" applyAlignment="1">
      <alignment horizontal="center" vertical="center" wrapText="1"/>
    </xf>
    <xf numFmtId="38" fontId="5" fillId="12" borderId="23" xfId="0" applyNumberFormat="1" applyFont="1" applyFill="1" applyBorder="1" applyAlignment="1">
      <alignment horizontal="center" vertical="center" wrapText="1"/>
    </xf>
    <xf numFmtId="38" fontId="5" fillId="12" borderId="57" xfId="0" applyNumberFormat="1" applyFont="1" applyFill="1" applyBorder="1" applyAlignment="1">
      <alignment horizontal="center" vertical="center" wrapText="1"/>
    </xf>
    <xf numFmtId="38" fontId="5" fillId="12" borderId="36" xfId="0" applyNumberFormat="1" applyFont="1" applyFill="1" applyBorder="1" applyAlignment="1">
      <alignment horizontal="center" vertical="center" wrapText="1"/>
    </xf>
    <xf numFmtId="4" fontId="1" fillId="6" borderId="38" xfId="0" applyNumberFormat="1" applyFont="1" applyFill="1" applyBorder="1" applyAlignment="1">
      <alignment horizontal="center"/>
    </xf>
    <xf numFmtId="4" fontId="1" fillId="6" borderId="42" xfId="0" applyNumberFormat="1" applyFont="1" applyFill="1" applyBorder="1" applyAlignment="1">
      <alignment horizontal="center"/>
    </xf>
    <xf numFmtId="6" fontId="1" fillId="3" borderId="46" xfId="0" applyNumberFormat="1" applyFont="1" applyFill="1" applyBorder="1" applyAlignment="1">
      <alignment horizontal="center" vertical="center" wrapText="1"/>
    </xf>
    <xf numFmtId="6" fontId="1" fillId="3" borderId="51" xfId="0" applyNumberFormat="1" applyFont="1" applyFill="1" applyBorder="1" applyAlignment="1">
      <alignment horizontal="center" vertical="center" wrapText="1"/>
    </xf>
    <xf numFmtId="6" fontId="1" fillId="6" borderId="1" xfId="0" applyNumberFormat="1" applyFont="1" applyFill="1" applyBorder="1" applyAlignment="1">
      <alignment horizontal="center" vertical="center" wrapText="1"/>
    </xf>
    <xf numFmtId="6" fontId="1" fillId="6" borderId="2" xfId="0" applyNumberFormat="1" applyFont="1" applyFill="1" applyBorder="1" applyAlignment="1">
      <alignment horizontal="center" vertical="center" wrapText="1"/>
    </xf>
    <xf numFmtId="6" fontId="1" fillId="6" borderId="3" xfId="0" applyNumberFormat="1" applyFont="1" applyFill="1" applyBorder="1" applyAlignment="1">
      <alignment horizontal="center" vertical="center" wrapText="1"/>
    </xf>
    <xf numFmtId="6" fontId="8" fillId="3" borderId="48" xfId="0" applyNumberFormat="1" applyFont="1" applyFill="1" applyBorder="1" applyAlignment="1">
      <alignment horizontal="center" vertical="center" wrapText="1"/>
    </xf>
    <xf numFmtId="6" fontId="8" fillId="3" borderId="10" xfId="0" applyNumberFormat="1" applyFont="1" applyFill="1" applyBorder="1" applyAlignment="1">
      <alignment horizontal="center" vertical="center" wrapText="1"/>
    </xf>
    <xf numFmtId="6" fontId="1" fillId="13" borderId="48" xfId="0" applyNumberFormat="1" applyFont="1" applyFill="1" applyBorder="1" applyAlignment="1">
      <alignment horizontal="center" vertical="center" wrapText="1"/>
    </xf>
    <xf numFmtId="6" fontId="1" fillId="13" borderId="10" xfId="0" applyNumberFormat="1" applyFont="1" applyFill="1" applyBorder="1" applyAlignment="1">
      <alignment horizontal="center" vertical="center" wrapText="1"/>
    </xf>
    <xf numFmtId="6" fontId="1" fillId="3" borderId="48" xfId="0" applyNumberFormat="1" applyFont="1" applyFill="1" applyBorder="1" applyAlignment="1">
      <alignment horizontal="center" vertical="center" wrapText="1"/>
    </xf>
    <xf numFmtId="6" fontId="1" fillId="3" borderId="10" xfId="0" applyNumberFormat="1" applyFont="1" applyFill="1" applyBorder="1" applyAlignment="1">
      <alignment horizontal="center" vertical="center" wrapText="1"/>
    </xf>
    <xf numFmtId="6" fontId="1" fillId="3" borderId="4" xfId="0" applyNumberFormat="1" applyFont="1" applyFill="1" applyBorder="1" applyAlignment="1">
      <alignment horizontal="center" vertical="center" wrapText="1"/>
    </xf>
    <xf numFmtId="6" fontId="1" fillId="3" borderId="22" xfId="0" applyNumberFormat="1" applyFont="1" applyFill="1" applyBorder="1" applyAlignment="1">
      <alignment horizontal="center" vertical="center" wrapText="1"/>
    </xf>
    <xf numFmtId="164" fontId="1" fillId="6" borderId="1" xfId="0" applyNumberFormat="1" applyFont="1" applyFill="1" applyBorder="1" applyAlignment="1">
      <alignment horizontal="center" vertical="center" wrapText="1"/>
    </xf>
    <xf numFmtId="164" fontId="1" fillId="6" borderId="2" xfId="0" applyNumberFormat="1"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9" xfId="0" applyFont="1" applyFill="1" applyBorder="1" applyAlignment="1">
      <alignment horizontal="center" vertical="center" wrapText="1"/>
    </xf>
    <xf numFmtId="0" fontId="1" fillId="2" borderId="47" xfId="0" applyFont="1" applyFill="1" applyBorder="1" applyAlignment="1">
      <alignment horizontal="center" vertical="center" wrapText="1"/>
    </xf>
    <xf numFmtId="0" fontId="1" fillId="2" borderId="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10" xfId="0" applyFont="1" applyFill="1" applyBorder="1" applyAlignment="1">
      <alignment horizontal="center" vertical="center" wrapText="1"/>
    </xf>
    <xf numFmtId="0" fontId="1" fillId="2" borderId="56" xfId="0" applyFont="1" applyFill="1" applyBorder="1" applyAlignment="1">
      <alignment horizontal="center" vertical="center" wrapText="1"/>
    </xf>
    <xf numFmtId="0" fontId="1" fillId="2" borderId="41" xfId="0" applyFont="1" applyFill="1" applyBorder="1" applyAlignment="1">
      <alignment horizontal="center" vertical="center" wrapText="1"/>
    </xf>
    <xf numFmtId="0" fontId="3" fillId="0" borderId="1" xfId="0" applyFont="1" applyBorder="1" applyAlignment="1">
      <alignment horizontal="center"/>
    </xf>
    <xf numFmtId="0" fontId="3" fillId="0" borderId="2" xfId="0" applyFont="1" applyBorder="1" applyAlignment="1">
      <alignment horizontal="center"/>
    </xf>
    <xf numFmtId="0" fontId="3" fillId="0" borderId="3" xfId="0" applyFont="1" applyBorder="1" applyAlignment="1">
      <alignment horizontal="center"/>
    </xf>
    <xf numFmtId="0" fontId="4" fillId="0" borderId="37" xfId="0" applyFont="1" applyBorder="1" applyAlignment="1">
      <alignment horizontal="center"/>
    </xf>
    <xf numFmtId="0" fontId="4" fillId="0" borderId="40" xfId="0" applyFont="1" applyBorder="1" applyAlignment="1">
      <alignment horizontal="center"/>
    </xf>
    <xf numFmtId="6" fontId="1" fillId="3" borderId="49" xfId="0" applyNumberFormat="1" applyFont="1" applyFill="1" applyBorder="1" applyAlignment="1">
      <alignment horizontal="center" vertical="center" wrapText="1"/>
    </xf>
    <xf numFmtId="6" fontId="1" fillId="3" borderId="11" xfId="0" applyNumberFormat="1" applyFont="1" applyFill="1" applyBorder="1" applyAlignment="1">
      <alignment horizontal="center" vertical="center" wrapText="1"/>
    </xf>
    <xf numFmtId="6" fontId="1" fillId="13" borderId="45" xfId="0" applyNumberFormat="1" applyFont="1" applyFill="1" applyBorder="1" applyAlignment="1">
      <alignment horizontal="center" vertical="center" wrapText="1"/>
    </xf>
    <xf numFmtId="6" fontId="1" fillId="13" borderId="19" xfId="0" applyNumberFormat="1" applyFont="1" applyFill="1" applyBorder="1" applyAlignment="1">
      <alignment horizontal="center" vertical="center" wrapText="1"/>
    </xf>
    <xf numFmtId="38" fontId="1" fillId="15" borderId="27" xfId="0" applyNumberFormat="1" applyFont="1" applyFill="1" applyBorder="1" applyAlignment="1">
      <alignment horizontal="center" vertical="center" wrapText="1"/>
    </xf>
    <xf numFmtId="38" fontId="1" fillId="15" borderId="9" xfId="0" applyNumberFormat="1" applyFont="1" applyFill="1" applyBorder="1" applyAlignment="1">
      <alignment horizontal="center" vertical="center" wrapText="1"/>
    </xf>
    <xf numFmtId="6" fontId="1" fillId="4" borderId="41" xfId="0" applyNumberFormat="1" applyFont="1" applyFill="1" applyBorder="1" applyAlignment="1">
      <alignment horizontal="center" vertical="center" wrapText="1"/>
    </xf>
    <xf numFmtId="6" fontId="1" fillId="4" borderId="42" xfId="0" applyNumberFormat="1" applyFont="1" applyFill="1" applyBorder="1" applyAlignment="1">
      <alignment horizontal="center" vertical="center" wrapText="1"/>
    </xf>
    <xf numFmtId="6" fontId="1" fillId="10" borderId="17" xfId="0" applyNumberFormat="1" applyFont="1" applyFill="1" applyBorder="1" applyAlignment="1">
      <alignment horizontal="center" vertical="center" wrapText="1"/>
    </xf>
    <xf numFmtId="6" fontId="8" fillId="2" borderId="48" xfId="0" applyNumberFormat="1" applyFont="1" applyFill="1" applyBorder="1" applyAlignment="1">
      <alignment horizontal="center" vertical="center" wrapText="1"/>
    </xf>
    <xf numFmtId="6" fontId="8" fillId="2" borderId="10" xfId="0" applyNumberFormat="1" applyFont="1" applyFill="1" applyBorder="1" applyAlignment="1">
      <alignment horizontal="center" vertical="center" wrapText="1"/>
    </xf>
    <xf numFmtId="164" fontId="1" fillId="10" borderId="16" xfId="0" applyNumberFormat="1" applyFont="1" applyFill="1" applyBorder="1" applyAlignment="1">
      <alignment horizontal="center" vertical="center" wrapText="1"/>
    </xf>
    <xf numFmtId="164" fontId="1" fillId="10" borderId="52" xfId="0" applyNumberFormat="1" applyFont="1" applyFill="1" applyBorder="1" applyAlignment="1">
      <alignment horizontal="center" vertical="center" wrapText="1"/>
    </xf>
    <xf numFmtId="38" fontId="1" fillId="16" borderId="16" xfId="0" applyNumberFormat="1" applyFont="1" applyFill="1" applyBorder="1" applyAlignment="1">
      <alignment horizontal="center" vertical="center" wrapText="1"/>
    </xf>
    <xf numFmtId="38" fontId="1" fillId="16" borderId="52" xfId="0" applyNumberFormat="1"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31" xfId="0" applyFont="1" applyBorder="1" applyAlignment="1">
      <alignment horizontal="center" vertical="center" wrapText="1"/>
    </xf>
    <xf numFmtId="0" fontId="1" fillId="0" borderId="18" xfId="0" applyFont="1" applyBorder="1" applyAlignment="1">
      <alignment horizontal="center" vertical="center" wrapText="1"/>
    </xf>
    <xf numFmtId="0" fontId="1" fillId="0" borderId="49" xfId="0" applyFont="1" applyBorder="1" applyAlignment="1">
      <alignment horizontal="center" vertical="center" wrapText="1"/>
    </xf>
    <xf numFmtId="0" fontId="1" fillId="0" borderId="11" xfId="0" applyFont="1" applyBorder="1" applyAlignment="1">
      <alignment horizontal="center" vertical="center" wrapText="1"/>
    </xf>
    <xf numFmtId="0" fontId="5" fillId="12" borderId="16" xfId="0" applyFont="1" applyFill="1" applyBorder="1" applyAlignment="1">
      <alignment horizontal="center" vertical="center" wrapText="1" readingOrder="1"/>
    </xf>
    <xf numFmtId="0" fontId="5" fillId="12" borderId="52" xfId="0" applyFont="1" applyFill="1" applyBorder="1" applyAlignment="1">
      <alignment horizontal="center" vertical="center" wrapText="1" readingOrder="1"/>
    </xf>
    <xf numFmtId="0" fontId="5" fillId="12" borderId="42" xfId="0" applyFont="1" applyFill="1" applyBorder="1" applyAlignment="1">
      <alignment horizontal="center" vertical="center" wrapText="1" readingOrder="1"/>
    </xf>
    <xf numFmtId="6" fontId="5" fillId="0" borderId="16" xfId="0" applyNumberFormat="1" applyFont="1" applyFill="1" applyBorder="1" applyAlignment="1">
      <alignment horizontal="center" vertical="center" wrapText="1" readingOrder="1"/>
    </xf>
    <xf numFmtId="6" fontId="5" fillId="0" borderId="52" xfId="0" applyNumberFormat="1" applyFont="1" applyFill="1" applyBorder="1" applyAlignment="1">
      <alignment horizontal="center" vertical="center" wrapText="1" readingOrder="1"/>
    </xf>
    <xf numFmtId="6" fontId="5" fillId="0" borderId="42" xfId="0" applyNumberFormat="1" applyFont="1" applyFill="1" applyBorder="1" applyAlignment="1">
      <alignment horizontal="center" vertical="center" wrapText="1" readingOrder="1"/>
    </xf>
    <xf numFmtId="6" fontId="9" fillId="3" borderId="14" xfId="0" applyNumberFormat="1" applyFont="1" applyFill="1" applyBorder="1" applyAlignment="1">
      <alignment horizontal="center" vertical="center" wrapText="1"/>
    </xf>
    <xf numFmtId="6" fontId="9" fillId="3" borderId="10" xfId="0" applyNumberFormat="1" applyFont="1" applyFill="1" applyBorder="1" applyAlignment="1">
      <alignment horizontal="center" vertical="center" wrapText="1"/>
    </xf>
    <xf numFmtId="0" fontId="1" fillId="6" borderId="1" xfId="0" applyFont="1"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2" fillId="6" borderId="1" xfId="0" applyFont="1" applyFill="1" applyBorder="1" applyAlignment="1">
      <alignment horizontal="center" vertical="center" wrapText="1" readingOrder="1"/>
    </xf>
    <xf numFmtId="0" fontId="2" fillId="6" borderId="2" xfId="0" applyFont="1" applyFill="1" applyBorder="1" applyAlignment="1">
      <alignment horizontal="center" vertical="center" wrapText="1" readingOrder="1"/>
    </xf>
    <xf numFmtId="0" fontId="2" fillId="6" borderId="3" xfId="0" applyFont="1" applyFill="1" applyBorder="1" applyAlignment="1">
      <alignment horizontal="center" vertical="center" wrapText="1" readingOrder="1"/>
    </xf>
    <xf numFmtId="164" fontId="1" fillId="6" borderId="1" xfId="0" applyNumberFormat="1" applyFont="1" applyFill="1" applyBorder="1" applyAlignment="1">
      <alignment horizontal="center" vertical="center"/>
    </xf>
    <xf numFmtId="164" fontId="1" fillId="6" borderId="2" xfId="0" applyNumberFormat="1" applyFont="1" applyFill="1" applyBorder="1" applyAlignment="1">
      <alignment horizontal="center" vertical="center"/>
    </xf>
    <xf numFmtId="164" fontId="1" fillId="6" borderId="3" xfId="0" applyNumberFormat="1" applyFont="1" applyFill="1" applyBorder="1" applyAlignment="1">
      <alignment horizontal="center" vertical="center"/>
    </xf>
    <xf numFmtId="0" fontId="2" fillId="11" borderId="46" xfId="0" applyFont="1" applyFill="1" applyBorder="1" applyAlignment="1">
      <alignment horizontal="center" vertical="center" wrapText="1"/>
    </xf>
    <xf numFmtId="0" fontId="2" fillId="11" borderId="4" xfId="0" applyFont="1" applyFill="1" applyBorder="1" applyAlignment="1">
      <alignment horizontal="center" vertical="center" wrapText="1"/>
    </xf>
    <xf numFmtId="0" fontId="2" fillId="11" borderId="47" xfId="0" applyFont="1" applyFill="1" applyBorder="1" applyAlignment="1">
      <alignment horizontal="center" vertical="center" wrapText="1"/>
    </xf>
    <xf numFmtId="0" fontId="2" fillId="11" borderId="33" xfId="0" applyFont="1" applyFill="1" applyBorder="1" applyAlignment="1">
      <alignment horizontal="center" vertical="center" wrapText="1"/>
    </xf>
    <xf numFmtId="0" fontId="2" fillId="11" borderId="34" xfId="0" applyFont="1" applyFill="1" applyBorder="1" applyAlignment="1">
      <alignment horizontal="center" vertical="center" wrapText="1"/>
    </xf>
    <xf numFmtId="0" fontId="2" fillId="11" borderId="43" xfId="0" applyFont="1" applyFill="1" applyBorder="1" applyAlignment="1">
      <alignment horizontal="center" vertical="center" wrapText="1"/>
    </xf>
    <xf numFmtId="0" fontId="5" fillId="0" borderId="16" xfId="0" applyFont="1" applyFill="1" applyBorder="1" applyAlignment="1">
      <alignment horizontal="center" vertical="center" wrapText="1" readingOrder="1"/>
    </xf>
    <xf numFmtId="0" fontId="5" fillId="0" borderId="52" xfId="0" applyFont="1" applyFill="1" applyBorder="1" applyAlignment="1">
      <alignment horizontal="center" vertical="center" wrapText="1" readingOrder="1"/>
    </xf>
    <xf numFmtId="0" fontId="5" fillId="0" borderId="42" xfId="0" applyFont="1" applyFill="1" applyBorder="1" applyAlignment="1">
      <alignment horizontal="center" vertical="center" wrapText="1" readingOrder="1"/>
    </xf>
    <xf numFmtId="0" fontId="5" fillId="12" borderId="51" xfId="0" applyFont="1" applyFill="1" applyBorder="1" applyAlignment="1">
      <alignment horizontal="center" vertical="center" wrapText="1" readingOrder="1"/>
    </xf>
    <xf numFmtId="0" fontId="5" fillId="12" borderId="22" xfId="0" applyFont="1" applyFill="1" applyBorder="1" applyAlignment="1">
      <alignment horizontal="center" vertical="center" wrapText="1" readingOrder="1"/>
    </xf>
    <xf numFmtId="0" fontId="5" fillId="12" borderId="41" xfId="0" applyFont="1" applyFill="1" applyBorder="1" applyAlignment="1">
      <alignment horizontal="center" vertical="center" wrapText="1" readingOrder="1"/>
    </xf>
    <xf numFmtId="6" fontId="5" fillId="17" borderId="26" xfId="0" applyNumberFormat="1" applyFont="1" applyFill="1" applyBorder="1" applyAlignment="1">
      <alignment horizontal="center" vertical="center" wrapText="1"/>
    </xf>
    <xf numFmtId="6" fontId="5" fillId="17" borderId="39" xfId="0" applyNumberFormat="1" applyFont="1" applyFill="1" applyBorder="1" applyAlignment="1">
      <alignment horizontal="center" vertical="center" wrapText="1"/>
    </xf>
    <xf numFmtId="6" fontId="5" fillId="17" borderId="10" xfId="0" applyNumberFormat="1" applyFont="1" applyFill="1" applyBorder="1" applyAlignment="1">
      <alignment horizontal="center" vertical="center" wrapText="1"/>
    </xf>
    <xf numFmtId="0" fontId="5" fillId="17" borderId="16" xfId="0" applyFont="1" applyFill="1" applyBorder="1" applyAlignment="1">
      <alignment horizontal="center" vertical="center" wrapText="1"/>
    </xf>
    <xf numFmtId="0" fontId="5" fillId="17" borderId="13" xfId="0" applyFont="1" applyFill="1" applyBorder="1" applyAlignment="1">
      <alignment horizontal="center" vertical="center" wrapText="1"/>
    </xf>
    <xf numFmtId="6" fontId="0" fillId="10" borderId="24" xfId="0" applyNumberFormat="1" applyFont="1" applyFill="1" applyBorder="1" applyAlignment="1">
      <alignment horizontal="center" vertical="center" wrapText="1"/>
    </xf>
    <xf numFmtId="6" fontId="5" fillId="0" borderId="25" xfId="0" applyNumberFormat="1" applyFont="1" applyFill="1" applyBorder="1" applyAlignment="1">
      <alignment horizontal="center" vertical="center" wrapText="1" readingOrder="1"/>
    </xf>
    <xf numFmtId="6" fontId="5" fillId="0" borderId="53" xfId="0" applyNumberFormat="1" applyFont="1" applyFill="1" applyBorder="1" applyAlignment="1">
      <alignment horizontal="center" vertical="center" wrapText="1" readingOrder="1"/>
    </xf>
    <xf numFmtId="6" fontId="5" fillId="0" borderId="44" xfId="0" applyNumberFormat="1" applyFont="1" applyFill="1" applyBorder="1" applyAlignment="1">
      <alignment horizontal="center" vertical="center" wrapText="1" readingOrder="1"/>
    </xf>
    <xf numFmtId="38" fontId="0" fillId="16" borderId="54" xfId="0" applyNumberFormat="1" applyFont="1" applyFill="1" applyBorder="1" applyAlignment="1">
      <alignment horizontal="center" vertical="center" wrapText="1"/>
    </xf>
    <xf numFmtId="38" fontId="0" fillId="16" borderId="27" xfId="0" applyNumberFormat="1" applyFont="1" applyFill="1" applyBorder="1" applyAlignment="1">
      <alignment horizontal="center" vertical="center" wrapText="1"/>
    </xf>
    <xf numFmtId="38" fontId="0" fillId="16" borderId="51" xfId="0" applyNumberFormat="1" applyFont="1" applyFill="1" applyBorder="1" applyAlignment="1">
      <alignment horizontal="center" vertical="center" wrapText="1"/>
    </xf>
    <xf numFmtId="38" fontId="0" fillId="16" borderId="9" xfId="0" applyNumberFormat="1" applyFont="1" applyFill="1" applyBorder="1" applyAlignment="1">
      <alignment horizontal="center" vertical="center" wrapText="1"/>
    </xf>
    <xf numFmtId="6" fontId="9" fillId="2" borderId="16" xfId="0" applyNumberFormat="1" applyFont="1" applyFill="1" applyBorder="1" applyAlignment="1">
      <alignment horizontal="center" vertical="center" wrapText="1"/>
    </xf>
    <xf numFmtId="6" fontId="9" fillId="2" borderId="52" xfId="0" applyNumberFormat="1" applyFont="1" applyFill="1" applyBorder="1" applyAlignment="1">
      <alignment horizontal="center" vertical="center" wrapText="1"/>
    </xf>
    <xf numFmtId="6" fontId="9" fillId="2" borderId="13" xfId="0" applyNumberFormat="1" applyFont="1" applyFill="1" applyBorder="1" applyAlignment="1">
      <alignment horizontal="center" vertical="center" wrapText="1"/>
    </xf>
    <xf numFmtId="6" fontId="0" fillId="13" borderId="26" xfId="0" applyNumberFormat="1" applyFont="1" applyFill="1" applyBorder="1" applyAlignment="1">
      <alignment horizontal="center" vertical="center" wrapText="1"/>
    </xf>
    <xf numFmtId="38" fontId="0" fillId="15" borderId="16" xfId="0" applyNumberFormat="1" applyFont="1" applyFill="1" applyBorder="1" applyAlignment="1">
      <alignment horizontal="center" vertical="center" wrapText="1"/>
    </xf>
    <xf numFmtId="38" fontId="0" fillId="15" borderId="52" xfId="0" applyNumberFormat="1" applyFont="1" applyFill="1" applyBorder="1" applyAlignment="1">
      <alignment horizontal="center" vertical="center" wrapText="1"/>
    </xf>
    <xf numFmtId="38" fontId="0" fillId="15" borderId="13" xfId="0" applyNumberFormat="1" applyFont="1" applyFill="1" applyBorder="1" applyAlignment="1">
      <alignment horizontal="center" vertical="center" wrapText="1"/>
    </xf>
    <xf numFmtId="38" fontId="0" fillId="10" borderId="54" xfId="0" applyNumberFormat="1" applyFont="1" applyFill="1" applyBorder="1" applyAlignment="1">
      <alignment horizontal="center" vertical="center" wrapText="1"/>
    </xf>
    <xf numFmtId="38" fontId="0" fillId="10" borderId="27" xfId="0" applyNumberFormat="1" applyFont="1" applyFill="1" applyBorder="1" applyAlignment="1">
      <alignment horizontal="center" vertical="center" wrapText="1"/>
    </xf>
    <xf numFmtId="38" fontId="0" fillId="10" borderId="51" xfId="0" applyNumberFormat="1" applyFont="1" applyFill="1" applyBorder="1" applyAlignment="1">
      <alignment horizontal="center" vertical="center" wrapText="1"/>
    </xf>
    <xf numFmtId="38" fontId="0" fillId="10" borderId="9" xfId="0" applyNumberFormat="1" applyFont="1" applyFill="1" applyBorder="1" applyAlignment="1">
      <alignment horizontal="center" vertical="center" wrapText="1"/>
    </xf>
    <xf numFmtId="0" fontId="5" fillId="12" borderId="25" xfId="0" applyFont="1" applyFill="1" applyBorder="1" applyAlignment="1">
      <alignment horizontal="center" vertical="center" wrapText="1" readingOrder="1"/>
    </xf>
    <xf numFmtId="0" fontId="5" fillId="12" borderId="53" xfId="0" applyFont="1" applyFill="1" applyBorder="1" applyAlignment="1">
      <alignment horizontal="center" vertical="center" wrapText="1" readingOrder="1"/>
    </xf>
    <xf numFmtId="0" fontId="5" fillId="12" borderId="44" xfId="0" applyFont="1" applyFill="1" applyBorder="1" applyAlignment="1">
      <alignment horizontal="center" vertical="center" wrapText="1" readingOrder="1"/>
    </xf>
    <xf numFmtId="6" fontId="0" fillId="4" borderId="26" xfId="0" applyNumberFormat="1" applyFont="1" applyFill="1" applyBorder="1" applyAlignment="1">
      <alignment horizontal="center" vertical="center" wrapText="1"/>
    </xf>
    <xf numFmtId="6" fontId="0" fillId="13" borderId="16" xfId="0" applyNumberFormat="1" applyFont="1" applyFill="1" applyBorder="1" applyAlignment="1">
      <alignment horizontal="center" vertical="center" wrapText="1"/>
    </xf>
    <xf numFmtId="6" fontId="0" fillId="13" borderId="52" xfId="0" applyNumberFormat="1" applyFont="1" applyFill="1" applyBorder="1" applyAlignment="1">
      <alignment horizontal="center" vertical="center" wrapText="1"/>
    </xf>
    <xf numFmtId="6" fontId="0" fillId="13" borderId="13" xfId="0" applyNumberFormat="1" applyFont="1" applyFill="1" applyBorder="1" applyAlignment="1">
      <alignment horizontal="center" vertical="center" wrapText="1"/>
    </xf>
    <xf numFmtId="6" fontId="0" fillId="13" borderId="14" xfId="0" applyNumberFormat="1" applyFont="1" applyFill="1" applyBorder="1" applyAlignment="1">
      <alignment horizontal="center" vertical="center" wrapText="1"/>
    </xf>
    <xf numFmtId="0" fontId="5" fillId="12" borderId="0" xfId="0" quotePrefix="1" applyFont="1" applyFill="1" applyBorder="1" applyAlignment="1">
      <alignment horizontal="center" vertical="center" wrapText="1" readingOrder="1"/>
    </xf>
    <xf numFmtId="6" fontId="9" fillId="3" borderId="16" xfId="0" applyNumberFormat="1" applyFont="1" applyFill="1" applyBorder="1" applyAlignment="1">
      <alignment horizontal="center" vertical="center" wrapText="1"/>
    </xf>
    <xf numFmtId="6" fontId="9" fillId="3" borderId="52" xfId="0" applyNumberFormat="1" applyFont="1" applyFill="1" applyBorder="1" applyAlignment="1">
      <alignment horizontal="center" vertical="center" wrapText="1"/>
    </xf>
    <xf numFmtId="6" fontId="9" fillId="3" borderId="13" xfId="0" applyNumberFormat="1" applyFont="1" applyFill="1" applyBorder="1" applyAlignment="1">
      <alignment horizontal="center" vertical="center" wrapText="1"/>
    </xf>
    <xf numFmtId="6" fontId="1" fillId="5" borderId="17" xfId="0" applyNumberFormat="1" applyFont="1" applyFill="1" applyBorder="1" applyAlignment="1">
      <alignment horizontal="center" vertical="center"/>
    </xf>
  </cellXfs>
  <cellStyles count="3">
    <cellStyle name="Comma" xfId="1" builtinId="3"/>
    <cellStyle name="Normal" xfId="0" builtinId="0"/>
    <cellStyle name="Percent" xfId="2" builtinId="5"/>
  </cellStyles>
  <dxfs count="21">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numFmt numFmtId="10" formatCode="&quot;$&quot;#,##0_);[Red]\(&quot;$&quot;#,##0\)"/>
    </dxf>
    <dxf>
      <numFmt numFmtId="10" formatCode="&quot;$&quot;#,##0_);[Red]\(&quot;$&quot;#,##0\)"/>
    </dxf>
    <dxf>
      <numFmt numFmtId="6" formatCode="#,##0_);[Red]\(#,##0\)"/>
    </dxf>
    <dxf>
      <numFmt numFmtId="6" formatCode="#,##0_);[Red]\(#,##0\)"/>
    </dxf>
    <dxf>
      <numFmt numFmtId="13" formatCode="0%"/>
    </dxf>
    <dxf>
      <numFmt numFmtId="13" formatCode="0%"/>
    </dxf>
    <dxf>
      <numFmt numFmtId="10" formatCode="&quot;$&quot;#,##0_);[Red]\(&quot;$&quot;#,##0\)"/>
    </dxf>
    <dxf>
      <numFmt numFmtId="10" formatCode="&quot;$&quot;#,##0_);[Red]\(&quot;$&quot;#,##0\)"/>
    </dxf>
    <dxf>
      <numFmt numFmtId="6" formatCode="#,##0_);[Red]\(#,##0\)"/>
    </dxf>
    <dxf>
      <numFmt numFmtId="6" formatCode="#,##0_);[Red]\(#,##0\)"/>
    </dxf>
    <dxf>
      <numFmt numFmtId="6" formatCode="#,##0_);[Red]\(#,##0\)"/>
    </dxf>
    <dxf>
      <numFmt numFmtId="6" formatCode="#,##0_);[Red]\(#,##0\)"/>
    </dxf>
    <dxf>
      <numFmt numFmtId="10" formatCode="&quot;$&quot;#,##0_);[Red]\(&quot;$&quot;#,##0\)"/>
    </dxf>
    <dxf>
      <numFmt numFmtId="10" formatCode="&quot;$&quot;#,##0_);[Red]\(&quot;$&quot;#,##0\)"/>
    </dxf>
    <dxf>
      <numFmt numFmtId="10" formatCode="&quot;$&quot;#,##0_);[Red]\(&quot;$&quot;#,##0\)"/>
    </dxf>
    <dxf>
      <numFmt numFmtId="10" formatCode="&quot;$&quot;#,##0_);[Red]\(&quot;$&quot;#,##0\)"/>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390525</xdr:colOff>
          <xdr:row>5</xdr:row>
          <xdr:rowOff>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vert="wordArtVert" wrap="square" lIns="27432" tIns="0" rIns="27432" bIns="0" anchor="ctr" upright="1"/>
            <a:lstStyle/>
            <a:p>
              <a:pPr algn="ctr" rtl="0">
                <a:defRPr sz="1000"/>
              </a:pPr>
              <a:r>
                <a:rPr lang="en-US" sz="1200" b="1" i="0" u="none" strike="noStrike" baseline="0">
                  <a:solidFill>
                    <a:srgbClr val="000000"/>
                  </a:solidFill>
                  <a:latin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390525</xdr:colOff>
          <xdr:row>5</xdr:row>
          <xdr:rowOff>0</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vert="wordArtVert" wrap="square" lIns="27432" tIns="0" rIns="27432" bIns="0" anchor="ctr" upright="1"/>
            <a:lstStyle/>
            <a:p>
              <a:pPr algn="ctr" rtl="0">
                <a:defRPr sz="1000"/>
              </a:pPr>
              <a:r>
                <a:rPr lang="en-US" sz="1200" b="1" i="0" u="none" strike="noStrike" baseline="0">
                  <a:solidFill>
                    <a:srgbClr val="000000"/>
                  </a:solidFill>
                  <a:latin typeface="Calibri"/>
                </a:rPr>
                <a:t>RUN</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lfaro, Manuel A" refreshedDate="43061.458941087963" createdVersion="4" refreshedVersion="4" minRefreshableVersion="3" recordCount="175">
  <cacheSource type="worksheet">
    <worksheetSource ref="A1:H1048576" sheet="Motoring Data"/>
  </cacheSource>
  <cacheFields count="8">
    <cacheField name="AREA" numFmtId="0">
      <sharedItems containsBlank="1" count="11">
        <s v="Shasta - Hydro"/>
        <s v="DeSabla - Hydro"/>
        <s v="Central Hydro"/>
        <s v="Kings-Crane Valley - Hydro"/>
        <s v="Helms - Hydro"/>
        <s v="Diablo Canyon"/>
        <s v="Fossil"/>
        <s v="Solar"/>
        <s v="Fuel Cell"/>
        <s v="Energy Storage"/>
        <m/>
      </sharedItems>
    </cacheField>
    <cacheField name="RESOURCE_NAME" numFmtId="0">
      <sharedItems containsBlank="1" count="99">
        <s v="Hat Creek 1"/>
        <s v="Hat Creek 2"/>
        <s v="Pit 1 U1"/>
        <s v="Pit 1 U2"/>
        <s v="Pit 3 U1-U3"/>
        <s v="Pit 4 U1 and U2"/>
        <s v="Pit 5 U1 and U2"/>
        <s v="Pit 5 U3 and U4"/>
        <s v="James B Black U1"/>
        <s v="James B Black U2"/>
        <s v="Pit 6 U1"/>
        <s v="Pit 6 U2"/>
        <s v="Pit 7 U1"/>
        <s v="Pit 7 U2"/>
        <s v="Coleman"/>
        <s v="Cow Creek U1 and U2"/>
        <s v="Inskip"/>
        <s v="Kilarc U1 and U2"/>
        <s v="South"/>
        <s v="Volta 1"/>
        <s v="Volta 2"/>
        <s v="Hamilton Branch U1 and U2"/>
        <s v="Butt Valley"/>
        <s v="Caribou 1 U1"/>
        <s v="Caribou 1 U2 and U3"/>
        <s v="Caribou 2 U4 and U5"/>
        <s v="Oak Flat"/>
        <s v="Belden"/>
        <s v="Rock Creek U1"/>
        <s v="Rock Creek U2"/>
        <s v="Bucks Creek U1 and U2"/>
        <s v="Cresta U1 and U2"/>
        <s v="Poe U1"/>
        <s v="Poe U2"/>
        <s v="Potter Valley U1-U3"/>
        <s v="Toadtown"/>
        <s v="DeSabla"/>
        <s v="Centerville U1 and U2"/>
        <s v="Lime Saddle U1 andU2"/>
        <s v="Narrows"/>
        <s v="Spaulding 1 and 2"/>
        <s v="Spaulding 3"/>
        <s v="Deer Creek"/>
        <s v="Drum 1 U1 and U2"/>
        <s v="Drum 1 U3 and U4"/>
        <s v="Drum 2 U5"/>
        <s v="Alta Powerhouse"/>
        <s v="Dutch Flat 1"/>
        <s v="Halsey"/>
        <s v="Wise 1"/>
        <s v="Wise 2"/>
        <s v="Newcastle"/>
        <s v="Chili Bar"/>
        <s v="Salt Springs 1 and 2"/>
        <s v="Tiger Creek U1 and U2"/>
        <s v="West Point"/>
        <s v="Electra U1-U3"/>
        <s v="Spring Gap"/>
        <s v="Stanislaus"/>
        <s v="Phoenix"/>
        <s v="Merced Falls"/>
        <s v="Haas U1, Haas U2"/>
        <s v="Balch 1"/>
        <s v="Balch 2 U2"/>
        <s v="Balch 2 U3"/>
        <s v="Kings River"/>
        <s v="Crane Valley"/>
        <s v="San Joaquin 1A, AG Wishon U1-U4"/>
        <s v="San Joaquin 2"/>
        <s v="San Joaquin 3"/>
        <s v="Kerckhoff 1 U1"/>
        <s v="Kerckhoff 1 U3"/>
        <s v="Kerckhoff 2"/>
        <s v="Tule River U1 and U2"/>
        <s v="Kern Canyon"/>
        <s v="Helms U1"/>
        <s v="Helms U2"/>
        <s v="Helms U3"/>
        <s v="Diablo Canyon Unit 1"/>
        <s v="Diablo Canyon Unit 2"/>
        <s v="Humboldt Bay Generating Station 1&amp;2"/>
        <s v="Humboldt Bay Generating Station 3"/>
        <s v="Colusa Generating Station"/>
        <s v="Gateway Generating Station"/>
        <s v="Cantua"/>
        <s v="Five Points"/>
        <s v="Gates Solar Station"/>
        <s v="Guernsey Solar Station"/>
        <s v="Giffen"/>
        <s v="Huron"/>
        <s v="Stroud"/>
        <s v="Vaca Dixon Solar Station"/>
        <s v="West Gates Solar Station"/>
        <s v="Westside"/>
        <s v="CSU East Bay Fuel Cells"/>
        <s v="SF State Fuel Cells"/>
        <s v="Vaca Dixon Battery"/>
        <s v="Yerba Buena Battery"/>
        <m/>
      </sharedItems>
    </cacheField>
    <cacheField name="PRIORITY" numFmtId="0">
      <sharedItems containsString="0" containsBlank="1" containsNumber="1" containsInteger="1" minValue="1" maxValue="101" count="102">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m/>
      </sharedItems>
    </cacheField>
    <cacheField name="RESOURCE_TYPE" numFmtId="0">
      <sharedItems containsBlank="1"/>
    </cacheField>
    <cacheField name="QTY_MOTOR" numFmtId="0">
      <sharedItems containsString="0" containsBlank="1" containsNumber="1" minValue="-281.99520000000001" maxValue="0"/>
    </cacheField>
    <cacheField name="AMT_MOTOR" numFmtId="0">
      <sharedItems containsString="0" containsBlank="1" containsNumber="1" minValue="-8793.4668000000001" maxValue="0"/>
    </cacheField>
    <cacheField name="QTY_MOTOR_TO_DSP" numFmtId="0">
      <sharedItems containsString="0" containsBlank="1" containsNumber="1" minValue="-11.709300000000001" maxValue="1855.0823"/>
    </cacheField>
    <cacheField name="AMT_MOTOR_TO_DSP" numFmtId="0">
      <sharedItems containsString="0" containsBlank="1" containsNumber="1" minValue="-6470.9621999999999" maxValue="59681.941299999999"/>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lfaro, Manuel A" refreshedDate="43061.458941087963" createdVersion="4" refreshedVersion="4" minRefreshableVersion="3" recordCount="200">
  <cacheSource type="worksheet">
    <worksheetSource ref="A1:V1048576" sheet="Settlements Data"/>
  </cacheSource>
  <cacheFields count="25">
    <cacheField name="AREA" numFmtId="0">
      <sharedItems containsBlank="1" count="11">
        <s v="Shasta - Hydro"/>
        <s v="DeSabla - Hydro"/>
        <s v="Central Hydro"/>
        <s v="Kings-Crane Valley - Hydro"/>
        <s v="Helms - Hydro"/>
        <s v="Diablo Canyon"/>
        <s v="Fossil"/>
        <s v="Solar"/>
        <s v="Fuel Cell"/>
        <s v="Energy Storage"/>
        <m/>
      </sharedItems>
    </cacheField>
    <cacheField name="RESOURCE_NAME" numFmtId="0">
      <sharedItems containsBlank="1" count="99">
        <s v="Hat Creek 1"/>
        <s v="Hat Creek 2"/>
        <s v="Pit 1 U1"/>
        <s v="Pit 1 U2"/>
        <s v="Pit 3 U1-U3"/>
        <s v="Pit 4 U1 and U2"/>
        <s v="Pit 5 U1 and U2"/>
        <s v="Pit 5 U3 and U4"/>
        <s v="James B Black U1"/>
        <s v="James B Black U2"/>
        <s v="Pit 6 U1"/>
        <s v="Pit 6 U2"/>
        <s v="Pit 7 U1"/>
        <s v="Pit 7 U2"/>
        <s v="Coleman"/>
        <s v="Cow Creek U1 and U2"/>
        <s v="Inskip"/>
        <s v="Kilarc U1 and U2"/>
        <s v="South"/>
        <s v="Volta 1"/>
        <s v="Volta 2"/>
        <s v="Hamilton Branch U1 and U2"/>
        <s v="Butt Valley"/>
        <s v="Caribou 1 U1"/>
        <s v="Caribou 1 U2 and U3"/>
        <s v="Caribou 2 U4 and U5"/>
        <s v="Oak Flat"/>
        <s v="Belden"/>
        <s v="Rock Creek U1"/>
        <s v="Rock Creek U2"/>
        <s v="Bucks Creek U1 and U2"/>
        <s v="Cresta U1 and U2"/>
        <s v="Poe U1"/>
        <s v="Poe U2"/>
        <s v="Potter Valley U1-U3"/>
        <s v="Toadtown"/>
        <s v="DeSabla"/>
        <s v="Centerville U1 and U2"/>
        <s v="Lime Saddle U1 andU2"/>
        <s v="Narrows"/>
        <s v="Spaulding 1 and 2"/>
        <s v="Spaulding 3"/>
        <s v="Deer Creek"/>
        <s v="Drum 1 U1 and U2"/>
        <s v="Drum 1 U3 and U4"/>
        <s v="Drum 2 U5"/>
        <s v="Alta Powerhouse"/>
        <s v="Dutch Flat 1"/>
        <s v="Halsey"/>
        <s v="Wise 1"/>
        <s v="Wise 2"/>
        <s v="Newcastle"/>
        <s v="Chili Bar"/>
        <s v="Salt Springs 1 and 2"/>
        <s v="Tiger Creek U1 and U2"/>
        <s v="West Point"/>
        <s v="Electra U1-U3"/>
        <s v="Spring Gap"/>
        <s v="Stanislaus"/>
        <s v="Phoenix"/>
        <s v="Merced Falls"/>
        <s v="Haas U1, Haas U2"/>
        <s v="Balch 1"/>
        <s v="Balch 2 U2"/>
        <s v="Balch 2 U3"/>
        <s v="Kings River"/>
        <s v="Crane Valley"/>
        <s v="San Joaquin 1A, AG Wishon U1-U4"/>
        <s v="San Joaquin 2"/>
        <s v="San Joaquin 3"/>
        <s v="Kerckhoff 1 U1"/>
        <s v="Kerckhoff 1 U3"/>
        <s v="Kerckhoff 2"/>
        <s v="Tule River U1 and U2"/>
        <s v="Kern Canyon"/>
        <s v="Helms U1"/>
        <s v="Helms U2"/>
        <s v="Helms U3"/>
        <s v="Diablo Canyon Unit 1"/>
        <s v="Diablo Canyon Unit 2"/>
        <s v="Humboldt Bay Generating Station 1&amp;2"/>
        <s v="Humboldt Bay Generating Station 3"/>
        <s v="Colusa Generating Station"/>
        <s v="Gateway Generating Station"/>
        <s v="Cantua"/>
        <s v="Five Points"/>
        <s v="Gates Solar Station"/>
        <s v="Guernsey Solar Station"/>
        <s v="Giffen"/>
        <s v="Huron"/>
        <s v="Stroud"/>
        <s v="Vaca Dixon Solar Station"/>
        <s v="West Gates Solar Station"/>
        <s v="Westside"/>
        <s v="CSU East Bay Fuel Cells"/>
        <s v="SF State Fuel Cells"/>
        <s v="Vaca Dixon Battery"/>
        <s v="Yerba Buena Battery"/>
        <m/>
      </sharedItems>
    </cacheField>
    <cacheField name="RESOURCE_TYPE" numFmtId="0">
      <sharedItems containsBlank="1"/>
    </cacheField>
    <cacheField name="PRIORITY" numFmtId="0">
      <sharedItems containsString="0" containsBlank="1" containsNumber="1" containsInteger="1" minValue="1" maxValue="101" count="102">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m/>
      </sharedItems>
    </cacheField>
    <cacheField name="TOTAL_ENERGY_AMOUNT" numFmtId="0">
      <sharedItems containsString="0" containsBlank="1" containsNumber="1" minValue="-2974.0333027800002" maxValue="34215893.482274599"/>
    </cacheField>
    <cacheField name="TOTAL_CAPACITY_AMOUNT" numFmtId="0">
      <sharedItems containsString="0" containsBlank="1" containsNumber="1" minValue="-672459.68423527805" maxValue="143093.008377527"/>
    </cacheField>
    <cacheField name="TOTAL_DA_MWH" numFmtId="0">
      <sharedItems containsString="0" containsBlank="1" containsNumber="1" minValue="-32.899999907999998" maxValue="847908.00000028801"/>
    </cacheField>
    <cacheField name="TOTAL_RTM_MWH" numFmtId="0">
      <sharedItems containsString="0" containsBlank="1" containsNumber="1" minValue="-27121.841160393" maxValue="11711.394972755999"/>
    </cacheField>
    <cacheField name="TOTAL_OUTPUT_MWH" numFmtId="0">
      <sharedItems containsString="0" containsBlank="1" containsNumber="1" minValue="-413.62613723700002" maxValue="848141.61919757805"/>
    </cacheField>
    <cacheField name="UNINSTRUCTED_MWH_GROSS" numFmtId="0">
      <sharedItems containsString="0" containsBlank="1" containsNumber="1" minValue="0" maxValue="4069.6127762219999"/>
    </cacheField>
    <cacheField name="CC6475" numFmtId="0">
      <sharedItems containsString="0" containsBlank="1" containsNumber="1" minValue="-33566.303276589002" maxValue="61343.254845636999"/>
    </cacheField>
    <cacheField name="CC6100_6170" numFmtId="0">
      <sharedItems containsString="0" containsBlank="1" containsNumber="1" minValue="0" maxValue="108647.30378640001"/>
    </cacheField>
    <cacheField name="CC6200_6270" numFmtId="0">
      <sharedItems containsString="0" containsBlank="1" containsNumber="1" minValue="0" maxValue="78091.569774999996"/>
    </cacheField>
    <cacheField name="CC6500_6570" numFmtId="0">
      <sharedItems containsString="0" containsBlank="1" containsNumber="1" minValue="0" maxValue="56072.918507599999"/>
    </cacheField>
    <cacheField name="CC6600_6670" numFmtId="0">
      <sharedItems containsString="0" containsBlank="1" containsNumber="1" minValue="0" maxValue="89935.417648325005"/>
    </cacheField>
    <cacheField name="NET_NO_PAY" numFmtId="0">
      <sharedItems containsString="0" containsBlank="1" containsNumber="1" minValue="-31004.239676265999" maxValue="0"/>
    </cacheField>
    <cacheField name="CC7070" numFmtId="0">
      <sharedItems containsString="0" containsBlank="1" containsNumber="1" minValue="-10860.572732532" maxValue="4439.634774401"/>
    </cacheField>
    <cacheField name="CC7071" numFmtId="0">
      <sharedItems containsString="0" containsBlank="1" containsNumber="1" minValue="0" maxValue="29378.584643624999"/>
    </cacheField>
    <cacheField name="CC7078" numFmtId="0">
      <sharedItems containsString="0" containsBlank="1" containsNumber="1" minValue="-484.00092160499997" maxValue="45.766619396999999"/>
    </cacheField>
    <cacheField name="CC7081" numFmtId="0">
      <sharedItems containsString="0" containsBlank="1" containsNumber="1" containsInteger="1" minValue="0" maxValue="0"/>
    </cacheField>
    <cacheField name="CC7088" numFmtId="0">
      <sharedItems containsString="0" containsBlank="1" containsNumber="1" containsInteger="1" minValue="0" maxValue="0"/>
    </cacheField>
    <cacheField name="RAAIM" numFmtId="0">
      <sharedItems containsString="0" containsBlank="1" containsNumber="1" minValue="-672198.11379336601" maxValue="5476.178615238"/>
    </cacheField>
    <cacheField name="No Pay Percentage" numFmtId="0" formula="NET_NO_PAY/ (CC6100_6170+CC6200_6270+CC6500_6570+CC6600_6670)" databaseField="0"/>
    <cacheField name="UIE By Total Output" numFmtId="0" formula="UNINSTRUCTED_MWH_GROSS/TOTAL_OUTPUT_MWH" databaseField="0"/>
    <cacheField name="No Pay Percentage ABS" numFmtId="0" formula="ABS(NET_NO_PAY) / ABS(CC6100_6170+CC6200_6270+CC6500_6570+CC6600_667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5">
  <r>
    <x v="0"/>
    <x v="0"/>
    <x v="0"/>
    <s v="GEN"/>
    <n v="0"/>
    <n v="0"/>
    <n v="0"/>
    <n v="0"/>
  </r>
  <r>
    <x v="0"/>
    <x v="1"/>
    <x v="1"/>
    <s v="GEN"/>
    <n v="0"/>
    <n v="0"/>
    <n v="0"/>
    <n v="0"/>
  </r>
  <r>
    <x v="0"/>
    <x v="2"/>
    <x v="2"/>
    <s v="GEN"/>
    <n v="0"/>
    <n v="0"/>
    <n v="0"/>
    <n v="0"/>
  </r>
  <r>
    <x v="0"/>
    <x v="3"/>
    <x v="3"/>
    <s v="GEN"/>
    <n v="0"/>
    <n v="0"/>
    <n v="0"/>
    <n v="0"/>
  </r>
  <r>
    <x v="0"/>
    <x v="4"/>
    <x v="4"/>
    <s v="GEN"/>
    <n v="0"/>
    <n v="0"/>
    <n v="0"/>
    <n v="0"/>
  </r>
  <r>
    <x v="0"/>
    <x v="5"/>
    <x v="5"/>
    <s v="GEN"/>
    <n v="0"/>
    <n v="0"/>
    <n v="0"/>
    <n v="0"/>
  </r>
  <r>
    <x v="0"/>
    <x v="6"/>
    <x v="6"/>
    <s v="GEN"/>
    <n v="0"/>
    <n v="0"/>
    <n v="0"/>
    <n v="0"/>
  </r>
  <r>
    <x v="0"/>
    <x v="7"/>
    <x v="7"/>
    <s v="GEN"/>
    <n v="0"/>
    <n v="0"/>
    <n v="0"/>
    <n v="0"/>
  </r>
  <r>
    <x v="0"/>
    <x v="8"/>
    <x v="8"/>
    <s v="GEN"/>
    <n v="0"/>
    <n v="0"/>
    <n v="0"/>
    <n v="0"/>
  </r>
  <r>
    <x v="0"/>
    <x v="9"/>
    <x v="9"/>
    <s v="GEN"/>
    <n v="0"/>
    <n v="0"/>
    <n v="0"/>
    <n v="0"/>
  </r>
  <r>
    <x v="0"/>
    <x v="10"/>
    <x v="10"/>
    <s v="GEN"/>
    <n v="0"/>
    <n v="0"/>
    <n v="0"/>
    <n v="0"/>
  </r>
  <r>
    <x v="0"/>
    <x v="11"/>
    <x v="11"/>
    <s v="GEN"/>
    <n v="0"/>
    <n v="0"/>
    <n v="0"/>
    <n v="0"/>
  </r>
  <r>
    <x v="0"/>
    <x v="12"/>
    <x v="12"/>
    <s v="GEN"/>
    <n v="0"/>
    <n v="0"/>
    <n v="0"/>
    <n v="0"/>
  </r>
  <r>
    <x v="0"/>
    <x v="13"/>
    <x v="13"/>
    <s v="GEN"/>
    <n v="0"/>
    <n v="0"/>
    <n v="0"/>
    <n v="0"/>
  </r>
  <r>
    <x v="0"/>
    <x v="14"/>
    <x v="14"/>
    <s v="GEN"/>
    <n v="0"/>
    <n v="0"/>
    <n v="0"/>
    <n v="0"/>
  </r>
  <r>
    <x v="0"/>
    <x v="15"/>
    <x v="15"/>
    <s v="GEN"/>
    <n v="0"/>
    <n v="0"/>
    <n v="0"/>
    <n v="0"/>
  </r>
  <r>
    <x v="0"/>
    <x v="16"/>
    <x v="16"/>
    <s v="GEN"/>
    <n v="0"/>
    <n v="0"/>
    <n v="0"/>
    <n v="0"/>
  </r>
  <r>
    <x v="0"/>
    <x v="17"/>
    <x v="17"/>
    <s v="GEN"/>
    <n v="0"/>
    <n v="0"/>
    <n v="0"/>
    <n v="0"/>
  </r>
  <r>
    <x v="0"/>
    <x v="18"/>
    <x v="18"/>
    <s v="GEN"/>
    <n v="0"/>
    <n v="0"/>
    <n v="0"/>
    <n v="0"/>
  </r>
  <r>
    <x v="0"/>
    <x v="19"/>
    <x v="19"/>
    <s v="GEN"/>
    <n v="0"/>
    <n v="0"/>
    <n v="0"/>
    <n v="0"/>
  </r>
  <r>
    <x v="0"/>
    <x v="20"/>
    <x v="20"/>
    <s v="GEN"/>
    <n v="0"/>
    <n v="0"/>
    <n v="0"/>
    <n v="0"/>
  </r>
  <r>
    <x v="1"/>
    <x v="21"/>
    <x v="21"/>
    <s v="GEN"/>
    <n v="0"/>
    <n v="0"/>
    <n v="0"/>
    <n v="0"/>
  </r>
  <r>
    <x v="1"/>
    <x v="22"/>
    <x v="22"/>
    <s v="GEN"/>
    <n v="0"/>
    <n v="0"/>
    <n v="0"/>
    <n v="0"/>
  </r>
  <r>
    <x v="1"/>
    <x v="23"/>
    <x v="23"/>
    <s v="GEN"/>
    <n v="0"/>
    <n v="0"/>
    <n v="0"/>
    <n v="0"/>
  </r>
  <r>
    <x v="1"/>
    <x v="24"/>
    <x v="24"/>
    <s v="GEN"/>
    <n v="0"/>
    <n v="0"/>
    <n v="0"/>
    <n v="0"/>
  </r>
  <r>
    <x v="1"/>
    <x v="25"/>
    <x v="25"/>
    <s v="GEN"/>
    <n v="0"/>
    <n v="0"/>
    <n v="0"/>
    <n v="0"/>
  </r>
  <r>
    <x v="1"/>
    <x v="26"/>
    <x v="26"/>
    <s v="GEN"/>
    <n v="0"/>
    <n v="0"/>
    <n v="0"/>
    <n v="0"/>
  </r>
  <r>
    <x v="1"/>
    <x v="27"/>
    <x v="27"/>
    <s v="GEN"/>
    <n v="0"/>
    <n v="0"/>
    <n v="0"/>
    <n v="0"/>
  </r>
  <r>
    <x v="1"/>
    <x v="28"/>
    <x v="28"/>
    <s v="GEN"/>
    <n v="0"/>
    <n v="0"/>
    <n v="0"/>
    <n v="0"/>
  </r>
  <r>
    <x v="1"/>
    <x v="29"/>
    <x v="29"/>
    <s v="GEN"/>
    <n v="0"/>
    <n v="0"/>
    <n v="0"/>
    <n v="0"/>
  </r>
  <r>
    <x v="1"/>
    <x v="30"/>
    <x v="30"/>
    <s v="GEN"/>
    <n v="0"/>
    <n v="0"/>
    <n v="0"/>
    <n v="0"/>
  </r>
  <r>
    <x v="1"/>
    <x v="31"/>
    <x v="31"/>
    <s v="GEN"/>
    <n v="0"/>
    <n v="0"/>
    <n v="0"/>
    <n v="0"/>
  </r>
  <r>
    <x v="1"/>
    <x v="32"/>
    <x v="32"/>
    <s v="GEN"/>
    <n v="0"/>
    <n v="0"/>
    <n v="0"/>
    <n v="0"/>
  </r>
  <r>
    <x v="1"/>
    <x v="33"/>
    <x v="33"/>
    <s v="GEN"/>
    <n v="0"/>
    <n v="0"/>
    <n v="0"/>
    <n v="0"/>
  </r>
  <r>
    <x v="1"/>
    <x v="34"/>
    <x v="34"/>
    <s v="GEN"/>
    <n v="0"/>
    <n v="0"/>
    <n v="0"/>
    <n v="0"/>
  </r>
  <r>
    <x v="1"/>
    <x v="35"/>
    <x v="35"/>
    <s v="GEN"/>
    <n v="0"/>
    <n v="0"/>
    <n v="0"/>
    <n v="0"/>
  </r>
  <r>
    <x v="1"/>
    <x v="36"/>
    <x v="36"/>
    <s v="GEN"/>
    <n v="0"/>
    <n v="0"/>
    <n v="0"/>
    <n v="0"/>
  </r>
  <r>
    <x v="1"/>
    <x v="37"/>
    <x v="37"/>
    <s v="GEN"/>
    <n v="0"/>
    <n v="0"/>
    <n v="0"/>
    <n v="0"/>
  </r>
  <r>
    <x v="1"/>
    <x v="38"/>
    <x v="38"/>
    <s v="GEN"/>
    <n v="0"/>
    <n v="0"/>
    <n v="0"/>
    <n v="0"/>
  </r>
  <r>
    <x v="2"/>
    <x v="39"/>
    <x v="39"/>
    <s v="GEN"/>
    <n v="0"/>
    <n v="0"/>
    <n v="0"/>
    <n v="0"/>
  </r>
  <r>
    <x v="2"/>
    <x v="40"/>
    <x v="40"/>
    <s v="GEN"/>
    <n v="0"/>
    <n v="0"/>
    <n v="0"/>
    <n v="0"/>
  </r>
  <r>
    <x v="2"/>
    <x v="41"/>
    <x v="41"/>
    <s v="GEN"/>
    <n v="0"/>
    <n v="0"/>
    <n v="0"/>
    <n v="0"/>
  </r>
  <r>
    <x v="2"/>
    <x v="42"/>
    <x v="42"/>
    <s v="GEN"/>
    <n v="0"/>
    <n v="0"/>
    <n v="0"/>
    <n v="0"/>
  </r>
  <r>
    <x v="2"/>
    <x v="43"/>
    <x v="43"/>
    <s v="GEN"/>
    <n v="0"/>
    <n v="0"/>
    <n v="0"/>
    <n v="0"/>
  </r>
  <r>
    <x v="2"/>
    <x v="44"/>
    <x v="44"/>
    <s v="GEN"/>
    <n v="0"/>
    <n v="0"/>
    <n v="0"/>
    <n v="0"/>
  </r>
  <r>
    <x v="2"/>
    <x v="45"/>
    <x v="45"/>
    <s v="GEN"/>
    <n v="0"/>
    <n v="0"/>
    <n v="0"/>
    <n v="0"/>
  </r>
  <r>
    <x v="2"/>
    <x v="46"/>
    <x v="46"/>
    <s v="GEN"/>
    <n v="0"/>
    <n v="0"/>
    <n v="0"/>
    <n v="0"/>
  </r>
  <r>
    <x v="2"/>
    <x v="47"/>
    <x v="47"/>
    <s v="GEN"/>
    <n v="0"/>
    <n v="0"/>
    <n v="0"/>
    <n v="0"/>
  </r>
  <r>
    <x v="2"/>
    <x v="48"/>
    <x v="48"/>
    <s v="GEN"/>
    <n v="0"/>
    <n v="0"/>
    <n v="0"/>
    <n v="0"/>
  </r>
  <r>
    <x v="2"/>
    <x v="49"/>
    <x v="49"/>
    <s v="GEN"/>
    <n v="0"/>
    <n v="0"/>
    <n v="0"/>
    <n v="0"/>
  </r>
  <r>
    <x v="2"/>
    <x v="50"/>
    <x v="50"/>
    <s v="GEN"/>
    <n v="0"/>
    <n v="0"/>
    <n v="0"/>
    <n v="0"/>
  </r>
  <r>
    <x v="2"/>
    <x v="51"/>
    <x v="51"/>
    <s v="GEN"/>
    <n v="0"/>
    <n v="0"/>
    <n v="0"/>
    <n v="0"/>
  </r>
  <r>
    <x v="2"/>
    <x v="52"/>
    <x v="52"/>
    <s v="GEN"/>
    <n v="0"/>
    <n v="0"/>
    <n v="0"/>
    <n v="0"/>
  </r>
  <r>
    <x v="2"/>
    <x v="53"/>
    <x v="53"/>
    <s v="GEN"/>
    <n v="0"/>
    <n v="0"/>
    <n v="0"/>
    <n v="0"/>
  </r>
  <r>
    <x v="2"/>
    <x v="54"/>
    <x v="54"/>
    <s v="GEN"/>
    <n v="0"/>
    <n v="0"/>
    <n v="0"/>
    <n v="0"/>
  </r>
  <r>
    <x v="2"/>
    <x v="55"/>
    <x v="55"/>
    <s v="GEN"/>
    <n v="0"/>
    <n v="0"/>
    <n v="0"/>
    <n v="0"/>
  </r>
  <r>
    <x v="2"/>
    <x v="56"/>
    <x v="56"/>
    <s v="GEN"/>
    <n v="0"/>
    <n v="0"/>
    <n v="0"/>
    <n v="0"/>
  </r>
  <r>
    <x v="2"/>
    <x v="57"/>
    <x v="57"/>
    <s v="GEN"/>
    <n v="0"/>
    <n v="0"/>
    <n v="0"/>
    <n v="0"/>
  </r>
  <r>
    <x v="2"/>
    <x v="58"/>
    <x v="58"/>
    <s v="GEN"/>
    <n v="0"/>
    <n v="0"/>
    <n v="0"/>
    <n v="0"/>
  </r>
  <r>
    <x v="2"/>
    <x v="59"/>
    <x v="59"/>
    <s v="GEN"/>
    <n v="0"/>
    <n v="0"/>
    <n v="0"/>
    <n v="0"/>
  </r>
  <r>
    <x v="2"/>
    <x v="60"/>
    <x v="60"/>
    <s v="GEN"/>
    <n v="0"/>
    <n v="0"/>
    <n v="0"/>
    <n v="0"/>
  </r>
  <r>
    <x v="3"/>
    <x v="61"/>
    <x v="61"/>
    <s v="GEN"/>
    <n v="0"/>
    <n v="0"/>
    <n v="0"/>
    <n v="0"/>
  </r>
  <r>
    <x v="3"/>
    <x v="62"/>
    <x v="62"/>
    <s v="GEN"/>
    <n v="0"/>
    <n v="0"/>
    <n v="0"/>
    <n v="0"/>
  </r>
  <r>
    <x v="3"/>
    <x v="63"/>
    <x v="63"/>
    <s v="GEN"/>
    <n v="0"/>
    <n v="0"/>
    <n v="0"/>
    <n v="0"/>
  </r>
  <r>
    <x v="3"/>
    <x v="64"/>
    <x v="64"/>
    <s v="GEN"/>
    <n v="0"/>
    <n v="0"/>
    <n v="0"/>
    <n v="0"/>
  </r>
  <r>
    <x v="3"/>
    <x v="65"/>
    <x v="65"/>
    <s v="GEN"/>
    <n v="0"/>
    <n v="0"/>
    <n v="0"/>
    <n v="0"/>
  </r>
  <r>
    <x v="3"/>
    <x v="66"/>
    <x v="66"/>
    <s v="GEN"/>
    <n v="0"/>
    <n v="0"/>
    <n v="0"/>
    <n v="0"/>
  </r>
  <r>
    <x v="3"/>
    <x v="67"/>
    <x v="67"/>
    <s v="GEN"/>
    <n v="0"/>
    <n v="0"/>
    <n v="0"/>
    <n v="0"/>
  </r>
  <r>
    <x v="3"/>
    <x v="68"/>
    <x v="68"/>
    <s v="GEN"/>
    <n v="0"/>
    <n v="0"/>
    <n v="0"/>
    <n v="0"/>
  </r>
  <r>
    <x v="3"/>
    <x v="69"/>
    <x v="69"/>
    <s v="GEN"/>
    <n v="0"/>
    <n v="0"/>
    <n v="0"/>
    <n v="0"/>
  </r>
  <r>
    <x v="3"/>
    <x v="70"/>
    <x v="70"/>
    <s v="GEN"/>
    <n v="0"/>
    <n v="0"/>
    <n v="0"/>
    <n v="0"/>
  </r>
  <r>
    <x v="3"/>
    <x v="71"/>
    <x v="71"/>
    <s v="GEN"/>
    <n v="0"/>
    <n v="0"/>
    <n v="0"/>
    <n v="0"/>
  </r>
  <r>
    <x v="3"/>
    <x v="72"/>
    <x v="72"/>
    <s v="GEN"/>
    <n v="0"/>
    <n v="0"/>
    <n v="0"/>
    <n v="0"/>
  </r>
  <r>
    <x v="3"/>
    <x v="73"/>
    <x v="73"/>
    <s v="GEN"/>
    <n v="0"/>
    <n v="0"/>
    <n v="0"/>
    <n v="0"/>
  </r>
  <r>
    <x v="3"/>
    <x v="74"/>
    <x v="74"/>
    <s v="GEN"/>
    <n v="0"/>
    <n v="0"/>
    <n v="0"/>
    <n v="0"/>
  </r>
  <r>
    <x v="4"/>
    <x v="75"/>
    <x v="75"/>
    <s v="GEN"/>
    <n v="0"/>
    <n v="0"/>
    <n v="0"/>
    <n v="0"/>
  </r>
  <r>
    <x v="4"/>
    <x v="75"/>
    <x v="76"/>
    <s v="LOAD"/>
    <n v="0"/>
    <n v="0"/>
    <n v="0"/>
    <n v="0"/>
  </r>
  <r>
    <x v="4"/>
    <x v="76"/>
    <x v="77"/>
    <s v="GEN"/>
    <n v="0"/>
    <n v="0"/>
    <n v="0"/>
    <n v="0"/>
  </r>
  <r>
    <x v="4"/>
    <x v="76"/>
    <x v="78"/>
    <s v="LOAD"/>
    <n v="0"/>
    <n v="0"/>
    <n v="0"/>
    <n v="0"/>
  </r>
  <r>
    <x v="4"/>
    <x v="77"/>
    <x v="79"/>
    <s v="GEN"/>
    <n v="0"/>
    <n v="0"/>
    <n v="0"/>
    <n v="0"/>
  </r>
  <r>
    <x v="4"/>
    <x v="77"/>
    <x v="80"/>
    <s v="LOAD"/>
    <n v="0"/>
    <n v="0"/>
    <n v="0"/>
    <n v="0"/>
  </r>
  <r>
    <x v="5"/>
    <x v="78"/>
    <x v="81"/>
    <s v="GEN"/>
    <n v="0"/>
    <n v="0"/>
    <n v="0"/>
    <n v="0"/>
  </r>
  <r>
    <x v="5"/>
    <x v="79"/>
    <x v="82"/>
    <s v="GEN"/>
    <n v="0"/>
    <n v="0"/>
    <n v="0"/>
    <n v="0"/>
  </r>
  <r>
    <x v="6"/>
    <x v="80"/>
    <x v="83"/>
    <s v="GEN"/>
    <n v="0"/>
    <n v="0"/>
    <n v="0"/>
    <n v="0"/>
  </r>
  <r>
    <x v="6"/>
    <x v="81"/>
    <x v="84"/>
    <s v="GEN"/>
    <n v="0"/>
    <n v="0"/>
    <n v="0"/>
    <n v="0"/>
  </r>
  <r>
    <x v="6"/>
    <x v="82"/>
    <x v="85"/>
    <s v="GEN"/>
    <n v="0"/>
    <n v="0"/>
    <n v="0"/>
    <n v="0"/>
  </r>
  <r>
    <x v="6"/>
    <x v="83"/>
    <x v="86"/>
    <s v="GEN"/>
    <n v="0"/>
    <n v="0"/>
    <n v="0"/>
    <n v="0"/>
  </r>
  <r>
    <x v="7"/>
    <x v="84"/>
    <x v="87"/>
    <s v="GEN"/>
    <n v="0"/>
    <n v="0"/>
    <n v="0"/>
    <n v="0"/>
  </r>
  <r>
    <x v="7"/>
    <x v="85"/>
    <x v="88"/>
    <s v="GEN"/>
    <n v="0"/>
    <n v="0"/>
    <n v="0"/>
    <n v="0"/>
  </r>
  <r>
    <x v="7"/>
    <x v="86"/>
    <x v="89"/>
    <s v="GEN"/>
    <n v="0"/>
    <n v="0"/>
    <n v="0"/>
    <n v="0"/>
  </r>
  <r>
    <x v="7"/>
    <x v="87"/>
    <x v="90"/>
    <s v="GEN"/>
    <n v="0"/>
    <n v="0"/>
    <n v="0"/>
    <n v="0"/>
  </r>
  <r>
    <x v="7"/>
    <x v="88"/>
    <x v="91"/>
    <s v="GEN"/>
    <n v="0"/>
    <n v="0"/>
    <n v="0"/>
    <n v="0"/>
  </r>
  <r>
    <x v="7"/>
    <x v="89"/>
    <x v="92"/>
    <s v="GEN"/>
    <n v="0"/>
    <n v="0"/>
    <n v="0"/>
    <n v="0"/>
  </r>
  <r>
    <x v="7"/>
    <x v="90"/>
    <x v="93"/>
    <s v="GEN"/>
    <n v="0"/>
    <n v="0"/>
    <n v="0"/>
    <n v="0"/>
  </r>
  <r>
    <x v="7"/>
    <x v="91"/>
    <x v="94"/>
    <s v="GEN"/>
    <n v="0"/>
    <n v="0"/>
    <n v="0"/>
    <n v="0"/>
  </r>
  <r>
    <x v="7"/>
    <x v="92"/>
    <x v="95"/>
    <s v="GEN"/>
    <n v="0"/>
    <n v="0"/>
    <n v="0"/>
    <n v="0"/>
  </r>
  <r>
    <x v="7"/>
    <x v="93"/>
    <x v="96"/>
    <s v="GEN"/>
    <n v="0"/>
    <n v="0"/>
    <n v="0"/>
    <n v="0"/>
  </r>
  <r>
    <x v="8"/>
    <x v="94"/>
    <x v="97"/>
    <s v="GEN"/>
    <n v="0"/>
    <n v="0"/>
    <n v="0"/>
    <n v="0"/>
  </r>
  <r>
    <x v="8"/>
    <x v="95"/>
    <x v="98"/>
    <s v="GEN"/>
    <n v="0"/>
    <n v="0"/>
    <n v="0"/>
    <n v="0"/>
  </r>
  <r>
    <x v="9"/>
    <x v="96"/>
    <x v="99"/>
    <s v="GEN"/>
    <n v="0"/>
    <n v="0"/>
    <n v="0"/>
    <n v="0"/>
  </r>
  <r>
    <x v="9"/>
    <x v="97"/>
    <x v="100"/>
    <s v="GEN"/>
    <n v="0"/>
    <n v="0"/>
    <n v="0"/>
    <n v="0"/>
  </r>
  <r>
    <x v="1"/>
    <x v="22"/>
    <x v="22"/>
    <s v="GEN"/>
    <n v="-239.23349999999999"/>
    <n v="-5841.0430999999999"/>
    <n v="92.510199999999998"/>
    <n v="1634.7339999999999"/>
  </r>
  <r>
    <x v="0"/>
    <x v="16"/>
    <x v="16"/>
    <s v="GEN"/>
    <n v="-7.6499999999999999E-2"/>
    <n v="-1.556"/>
    <n v="4.8800000000000003E-2"/>
    <n v="3.0945999999999998"/>
  </r>
  <r>
    <x v="0"/>
    <x v="1"/>
    <x v="1"/>
    <s v="GEN"/>
    <n v="0"/>
    <n v="0"/>
    <n v="18.046299999999999"/>
    <n v="1618.0279"/>
  </r>
  <r>
    <x v="1"/>
    <x v="34"/>
    <x v="34"/>
    <s v="GEN"/>
    <n v="-2.6141999999999999"/>
    <n v="-190.76480000000001"/>
    <n v="6.2138999999999998"/>
    <n v="408.62099999999998"/>
  </r>
  <r>
    <x v="2"/>
    <x v="59"/>
    <x v="59"/>
    <s v="GEN"/>
    <n v="-1.6157999999999999"/>
    <n v="-60.822699999999998"/>
    <n v="18.8066"/>
    <n v="1000.6218"/>
  </r>
  <r>
    <x v="2"/>
    <x v="53"/>
    <x v="53"/>
    <s v="GEN"/>
    <n v="0"/>
    <n v="0"/>
    <n v="-5.8500000000000003E-2"/>
    <n v="-1.7424999999999999"/>
  </r>
  <r>
    <x v="0"/>
    <x v="3"/>
    <x v="3"/>
    <s v="GEN"/>
    <n v="0"/>
    <n v="0"/>
    <n v="-1.29E-2"/>
    <n v="-0.43269999999999997"/>
  </r>
  <r>
    <x v="3"/>
    <x v="73"/>
    <x v="73"/>
    <s v="GEN"/>
    <n v="0"/>
    <n v="0"/>
    <n v="0"/>
    <n v="0"/>
  </r>
  <r>
    <x v="1"/>
    <x v="26"/>
    <x v="26"/>
    <s v="GEN"/>
    <n v="-3.8982000000000001"/>
    <n v="-144.6045"/>
    <n v="0"/>
    <n v="0"/>
  </r>
  <r>
    <x v="0"/>
    <x v="2"/>
    <x v="2"/>
    <s v="GEN"/>
    <n v="-2.6854"/>
    <n v="-72.975300000000004"/>
    <n v="-0.97829999999999995"/>
    <n v="-361.56209999999999"/>
  </r>
  <r>
    <x v="0"/>
    <x v="5"/>
    <x v="5"/>
    <s v="GEN"/>
    <n v="0"/>
    <n v="0"/>
    <n v="0"/>
    <n v="0"/>
  </r>
  <r>
    <x v="0"/>
    <x v="0"/>
    <x v="0"/>
    <s v="GEN"/>
    <n v="0"/>
    <n v="0"/>
    <n v="4.87E-2"/>
    <n v="-0.59660000000000002"/>
  </r>
  <r>
    <x v="2"/>
    <x v="57"/>
    <x v="57"/>
    <s v="GEN"/>
    <n v="-3.9E-2"/>
    <n v="-3.5381999999999998"/>
    <n v="4.58E-2"/>
    <n v="1.7357"/>
  </r>
  <r>
    <x v="0"/>
    <x v="11"/>
    <x v="11"/>
    <s v="GEN"/>
    <n v="0"/>
    <n v="0"/>
    <n v="0"/>
    <n v="0"/>
  </r>
  <r>
    <x v="2"/>
    <x v="54"/>
    <x v="54"/>
    <s v="GEN"/>
    <n v="0"/>
    <n v="0"/>
    <n v="972.9701"/>
    <n v="34632.321600000003"/>
  </r>
  <r>
    <x v="3"/>
    <x v="70"/>
    <x v="70"/>
    <s v="GEN"/>
    <n v="0"/>
    <n v="0"/>
    <n v="0"/>
    <n v="0"/>
  </r>
  <r>
    <x v="1"/>
    <x v="33"/>
    <x v="33"/>
    <s v="GEN"/>
    <n v="-0.57920000000000005"/>
    <n v="-15.5814"/>
    <n v="-1.145"/>
    <n v="-41.314100000000003"/>
  </r>
  <r>
    <x v="2"/>
    <x v="52"/>
    <x v="52"/>
    <s v="GEN"/>
    <n v="-7.8700000000000006E-2"/>
    <n v="-2.052"/>
    <n v="27.791899999999998"/>
    <n v="523.26179999999999"/>
  </r>
  <r>
    <x v="2"/>
    <x v="56"/>
    <x v="56"/>
    <s v="GEN"/>
    <n v="0"/>
    <n v="0"/>
    <n v="0"/>
    <n v="0"/>
  </r>
  <r>
    <x v="1"/>
    <x v="32"/>
    <x v="32"/>
    <s v="GEN"/>
    <n v="-0.91869999999999996"/>
    <n v="-23.606300000000001"/>
    <n v="1.0864"/>
    <n v="29.938700000000001"/>
  </r>
  <r>
    <x v="2"/>
    <x v="55"/>
    <x v="55"/>
    <s v="GEN"/>
    <n v="0"/>
    <n v="0"/>
    <n v="0"/>
    <n v="0"/>
  </r>
  <r>
    <x v="1"/>
    <x v="38"/>
    <x v="38"/>
    <s v="GEN"/>
    <n v="0"/>
    <n v="0"/>
    <n v="4.7392000000000003"/>
    <n v="222.46770000000001"/>
  </r>
  <r>
    <x v="0"/>
    <x v="17"/>
    <x v="17"/>
    <s v="GEN"/>
    <n v="-0.1077"/>
    <n v="-3.9592999999999998"/>
    <n v="0.12379999999999999"/>
    <n v="72.386300000000006"/>
  </r>
  <r>
    <x v="0"/>
    <x v="14"/>
    <x v="14"/>
    <s v="GEN"/>
    <n v="0"/>
    <n v="0"/>
    <n v="0"/>
    <n v="0"/>
  </r>
  <r>
    <x v="1"/>
    <x v="27"/>
    <x v="27"/>
    <s v="GEN"/>
    <n v="-0.37519999999999998"/>
    <n v="-12.441800000000001"/>
    <n v="382.49889999999999"/>
    <n v="10255.1536"/>
  </r>
  <r>
    <x v="0"/>
    <x v="15"/>
    <x v="15"/>
    <s v="GEN"/>
    <n v="0"/>
    <n v="0"/>
    <n v="0"/>
    <n v="0"/>
  </r>
  <r>
    <x v="2"/>
    <x v="42"/>
    <x v="42"/>
    <s v="GEN"/>
    <n v="0"/>
    <n v="0"/>
    <n v="0"/>
    <n v="0"/>
  </r>
  <r>
    <x v="2"/>
    <x v="45"/>
    <x v="45"/>
    <s v="GEN"/>
    <n v="-12.050700000000001"/>
    <n v="-321.21109999999999"/>
    <n v="54.7684"/>
    <n v="1694.1577"/>
  </r>
  <r>
    <x v="1"/>
    <x v="35"/>
    <x v="35"/>
    <s v="GEN"/>
    <n v="-3.6272000000000002"/>
    <n v="-132.667"/>
    <n v="0"/>
    <n v="0"/>
  </r>
  <r>
    <x v="3"/>
    <x v="71"/>
    <x v="71"/>
    <s v="GEN"/>
    <n v="0"/>
    <n v="0"/>
    <n v="0"/>
    <n v="0"/>
  </r>
  <r>
    <x v="3"/>
    <x v="74"/>
    <x v="74"/>
    <s v="GEN"/>
    <n v="0"/>
    <n v="0"/>
    <n v="0"/>
    <n v="0"/>
  </r>
  <r>
    <x v="1"/>
    <x v="29"/>
    <x v="29"/>
    <s v="GEN"/>
    <n v="0"/>
    <n v="0"/>
    <n v="0"/>
    <n v="0"/>
  </r>
  <r>
    <x v="2"/>
    <x v="41"/>
    <x v="41"/>
    <s v="GEN"/>
    <n v="-4.4000000000000003E-3"/>
    <n v="-0.12130000000000001"/>
    <n v="87.550799999999995"/>
    <n v="3151.6655000000001"/>
  </r>
  <r>
    <x v="3"/>
    <x v="64"/>
    <x v="64"/>
    <s v="GEN"/>
    <n v="-0.1101"/>
    <n v="-9.9039999999999999"/>
    <n v="9.6509"/>
    <n v="806.7115"/>
  </r>
  <r>
    <x v="3"/>
    <x v="67"/>
    <x v="67"/>
    <s v="GEN"/>
    <n v="0"/>
    <n v="0"/>
    <n v="20.462599999999998"/>
    <n v="1925.7348"/>
  </r>
  <r>
    <x v="2"/>
    <x v="58"/>
    <x v="58"/>
    <s v="GEN"/>
    <n v="0"/>
    <n v="0"/>
    <n v="6.2945000000000002"/>
    <n v="168.5318"/>
  </r>
  <r>
    <x v="0"/>
    <x v="4"/>
    <x v="4"/>
    <s v="GEN"/>
    <n v="0"/>
    <n v="0"/>
    <n v="156.91079999999999"/>
    <n v="4748.9373999999998"/>
  </r>
  <r>
    <x v="2"/>
    <x v="44"/>
    <x v="44"/>
    <s v="GEN"/>
    <n v="-154.715"/>
    <n v="-4598.1352999999999"/>
    <n v="339.25400000000002"/>
    <n v="16013.263499999999"/>
  </r>
  <r>
    <x v="0"/>
    <x v="18"/>
    <x v="18"/>
    <s v="GEN"/>
    <n v="-1.0699999999999999E-2"/>
    <n v="-0.1978"/>
    <n v="58.155200000000001"/>
    <n v="2120.7817"/>
  </r>
  <r>
    <x v="1"/>
    <x v="30"/>
    <x v="30"/>
    <s v="GEN"/>
    <n v="-153.48849999999999"/>
    <n v="-4263.1545999999998"/>
    <n v="190.1962"/>
    <n v="20380.875199999999"/>
  </r>
  <r>
    <x v="2"/>
    <x v="51"/>
    <x v="51"/>
    <s v="GEN"/>
    <n v="-28.8278"/>
    <n v="-1107.3931"/>
    <n v="0"/>
    <n v="0"/>
  </r>
  <r>
    <x v="2"/>
    <x v="39"/>
    <x v="39"/>
    <s v="GEN"/>
    <n v="-14.7288"/>
    <n v="-544.49090000000001"/>
    <n v="0"/>
    <n v="0"/>
  </r>
  <r>
    <x v="1"/>
    <x v="36"/>
    <x v="36"/>
    <s v="GEN"/>
    <n v="0"/>
    <n v="0"/>
    <n v="0"/>
    <n v="0"/>
  </r>
  <r>
    <x v="2"/>
    <x v="50"/>
    <x v="50"/>
    <s v="GEN"/>
    <n v="-3.1067999999999998"/>
    <n v="-118.54770000000001"/>
    <n v="0"/>
    <n v="0"/>
  </r>
  <r>
    <x v="0"/>
    <x v="13"/>
    <x v="13"/>
    <s v="GEN"/>
    <n v="-182.76650000000001"/>
    <n v="-4254.6274999999996"/>
    <n v="193.28489999999999"/>
    <n v="2504.8449000000001"/>
  </r>
  <r>
    <x v="3"/>
    <x v="66"/>
    <x v="66"/>
    <s v="GEN"/>
    <n v="-0.67610000000000003"/>
    <n v="-27.4605"/>
    <n v="6.3500000000000001E-2"/>
    <n v="1.9765999999999999"/>
  </r>
  <r>
    <x v="2"/>
    <x v="49"/>
    <x v="49"/>
    <s v="GEN"/>
    <n v="-8.4175000000000004"/>
    <n v="-382.82760000000002"/>
    <n v="2.9693999999999998"/>
    <n v="115.17"/>
  </r>
  <r>
    <x v="0"/>
    <x v="8"/>
    <x v="8"/>
    <s v="GEN"/>
    <n v="-18.773599999999998"/>
    <n v="-471.75310000000002"/>
    <n v="118.96380000000001"/>
    <n v="8946.7489000000005"/>
  </r>
  <r>
    <x v="3"/>
    <x v="69"/>
    <x v="69"/>
    <s v="GEN"/>
    <n v="0"/>
    <n v="0"/>
    <n v="0"/>
    <n v="0"/>
  </r>
  <r>
    <x v="1"/>
    <x v="28"/>
    <x v="28"/>
    <s v="GEN"/>
    <n v="0"/>
    <n v="0"/>
    <n v="0"/>
    <n v="0"/>
  </r>
  <r>
    <x v="0"/>
    <x v="10"/>
    <x v="10"/>
    <s v="GEN"/>
    <n v="0"/>
    <n v="0"/>
    <n v="0"/>
    <n v="0"/>
  </r>
  <r>
    <x v="3"/>
    <x v="72"/>
    <x v="72"/>
    <s v="GEN"/>
    <n v="0"/>
    <n v="0"/>
    <n v="1360.3136"/>
    <n v="47047.385300000002"/>
  </r>
  <r>
    <x v="2"/>
    <x v="48"/>
    <x v="48"/>
    <s v="GEN"/>
    <n v="-0.77110000000000001"/>
    <n v="-27.301300000000001"/>
    <n v="39.945099999999996"/>
    <n v="1177.8995"/>
  </r>
  <r>
    <x v="3"/>
    <x v="63"/>
    <x v="63"/>
    <s v="GEN"/>
    <n v="0"/>
    <n v="0"/>
    <n v="6.0403000000000002"/>
    <n v="738.58590000000004"/>
  </r>
  <r>
    <x v="2"/>
    <x v="40"/>
    <x v="40"/>
    <s v="GEN"/>
    <n v="0"/>
    <n v="0"/>
    <n v="0"/>
    <n v="0"/>
  </r>
  <r>
    <x v="3"/>
    <x v="62"/>
    <x v="62"/>
    <s v="GEN"/>
    <n v="0"/>
    <n v="0"/>
    <n v="0"/>
    <n v="0"/>
  </r>
  <r>
    <x v="1"/>
    <x v="25"/>
    <x v="25"/>
    <s v="GEN"/>
    <n v="-2.5907"/>
    <n v="-72.408199999999994"/>
    <n v="3.6179000000000001"/>
    <n v="124.8079"/>
  </r>
  <r>
    <x v="1"/>
    <x v="23"/>
    <x v="23"/>
    <s v="GEN"/>
    <n v="-148.03880000000001"/>
    <n v="-4298.009"/>
    <n v="7.7047999999999996"/>
    <n v="-169.49270000000001"/>
  </r>
  <r>
    <x v="0"/>
    <x v="6"/>
    <x v="6"/>
    <s v="GEN"/>
    <n v="0"/>
    <n v="0"/>
    <n v="1855.0823"/>
    <n v="59681.941299999999"/>
  </r>
  <r>
    <x v="0"/>
    <x v="12"/>
    <x v="12"/>
    <s v="GEN"/>
    <n v="0"/>
    <n v="0"/>
    <n v="0"/>
    <n v="0"/>
  </r>
  <r>
    <x v="3"/>
    <x v="65"/>
    <x v="65"/>
    <s v="GEN"/>
    <n v="0"/>
    <n v="0"/>
    <n v="0"/>
    <n v="0"/>
  </r>
  <r>
    <x v="1"/>
    <x v="21"/>
    <x v="21"/>
    <s v="GEN"/>
    <n v="-1.9532"/>
    <n v="-68.741900000000001"/>
    <n v="173.40360000000001"/>
    <n v="6927.7359999999999"/>
  </r>
  <r>
    <x v="3"/>
    <x v="68"/>
    <x v="68"/>
    <s v="GEN"/>
    <n v="0"/>
    <n v="0"/>
    <n v="50.383000000000003"/>
    <n v="1722.7246"/>
  </r>
  <r>
    <x v="1"/>
    <x v="31"/>
    <x v="31"/>
    <s v="GEN"/>
    <n v="-1.0414000000000001"/>
    <n v="-42.107999999999997"/>
    <n v="3.8307000000000002"/>
    <n v="96.064599999999999"/>
  </r>
  <r>
    <x v="2"/>
    <x v="46"/>
    <x v="46"/>
    <s v="GEN"/>
    <n v="-1.01E-2"/>
    <n v="-0.34179999999999999"/>
    <n v="3.9803000000000002"/>
    <n v="137.87739999999999"/>
  </r>
  <r>
    <x v="3"/>
    <x v="61"/>
    <x v="61"/>
    <s v="GEN"/>
    <n v="-0.39860000000000001"/>
    <n v="-11.672499999999999"/>
    <n v="-11.709300000000001"/>
    <n v="-6470.9621999999999"/>
  </r>
  <r>
    <x v="0"/>
    <x v="20"/>
    <x v="20"/>
    <s v="GEN"/>
    <n v="0"/>
    <n v="0"/>
    <n v="0"/>
    <n v="0"/>
  </r>
  <r>
    <x v="1"/>
    <x v="24"/>
    <x v="24"/>
    <s v="GEN"/>
    <n v="-7.4928999999999997"/>
    <n v="-215.17599999999999"/>
    <n v="2.8529"/>
    <n v="81.406400000000005"/>
  </r>
  <r>
    <x v="0"/>
    <x v="19"/>
    <x v="19"/>
    <s v="GEN"/>
    <n v="0"/>
    <n v="0"/>
    <n v="0"/>
    <n v="0"/>
  </r>
  <r>
    <x v="2"/>
    <x v="43"/>
    <x v="43"/>
    <s v="GEN"/>
    <n v="-95.665899999999993"/>
    <n v="-2855.2532000000001"/>
    <n v="289.08969999999999"/>
    <n v="14924.812"/>
  </r>
  <r>
    <x v="2"/>
    <x v="47"/>
    <x v="47"/>
    <s v="GEN"/>
    <n v="-281.99520000000001"/>
    <n v="-8793.4668000000001"/>
    <n v="214.87960000000001"/>
    <n v="5556.5187999999998"/>
  </r>
  <r>
    <x v="0"/>
    <x v="9"/>
    <x v="9"/>
    <s v="GEN"/>
    <n v="-7.6531000000000002"/>
    <n v="-212.11"/>
    <n v="237.07640000000001"/>
    <n v="5822.3937999999998"/>
  </r>
  <r>
    <x v="0"/>
    <x v="7"/>
    <x v="7"/>
    <s v="GEN"/>
    <n v="0"/>
    <n v="0"/>
    <n v="0"/>
    <n v="0"/>
  </r>
  <r>
    <x v="10"/>
    <x v="98"/>
    <x v="101"/>
    <m/>
    <m/>
    <m/>
    <m/>
    <m/>
  </r>
</pivotCacheRecords>
</file>

<file path=xl/pivotCache/pivotCacheRecords2.xml><?xml version="1.0" encoding="utf-8"?>
<pivotCacheRecords xmlns="http://schemas.openxmlformats.org/spreadsheetml/2006/main" xmlns:r="http://schemas.openxmlformats.org/officeDocument/2006/relationships" count="200">
  <r>
    <x v="0"/>
    <x v="0"/>
    <s v="GEN"/>
    <x v="0"/>
    <n v="0"/>
    <n v="0"/>
    <n v="0"/>
    <n v="0"/>
    <n v="0"/>
    <n v="0"/>
    <n v="0"/>
    <n v="0"/>
    <n v="0"/>
    <n v="0"/>
    <n v="0"/>
    <n v="0"/>
    <n v="0"/>
    <n v="0"/>
    <n v="0"/>
    <n v="0"/>
    <n v="0"/>
    <n v="0"/>
  </r>
  <r>
    <x v="0"/>
    <x v="1"/>
    <s v="GEN"/>
    <x v="1"/>
    <n v="0"/>
    <n v="0"/>
    <n v="0"/>
    <n v="0"/>
    <n v="0"/>
    <n v="0"/>
    <n v="0"/>
    <n v="0"/>
    <n v="0"/>
    <n v="0"/>
    <n v="0"/>
    <n v="0"/>
    <n v="0"/>
    <n v="0"/>
    <n v="0"/>
    <n v="0"/>
    <n v="0"/>
    <n v="0"/>
  </r>
  <r>
    <x v="0"/>
    <x v="2"/>
    <s v="GEN"/>
    <x v="2"/>
    <n v="0"/>
    <n v="0"/>
    <n v="0"/>
    <n v="0"/>
    <n v="0"/>
    <n v="0"/>
    <n v="0"/>
    <n v="0"/>
    <n v="0"/>
    <n v="0"/>
    <n v="0"/>
    <n v="0"/>
    <n v="0"/>
    <n v="0"/>
    <n v="0"/>
    <n v="0"/>
    <n v="0"/>
    <n v="0"/>
  </r>
  <r>
    <x v="0"/>
    <x v="3"/>
    <s v="GEN"/>
    <x v="3"/>
    <n v="0"/>
    <n v="0"/>
    <n v="0"/>
    <n v="0"/>
    <n v="0"/>
    <n v="0"/>
    <n v="0"/>
    <n v="0"/>
    <n v="0"/>
    <n v="0"/>
    <n v="0"/>
    <n v="0"/>
    <n v="0"/>
    <n v="0"/>
    <n v="0"/>
    <n v="0"/>
    <n v="0"/>
    <n v="0"/>
  </r>
  <r>
    <x v="0"/>
    <x v="4"/>
    <s v="GEN"/>
    <x v="4"/>
    <n v="0"/>
    <n v="0"/>
    <n v="0"/>
    <n v="0"/>
    <n v="0"/>
    <n v="0"/>
    <n v="0"/>
    <n v="0"/>
    <n v="0"/>
    <n v="0"/>
    <n v="0"/>
    <n v="0"/>
    <n v="0"/>
    <n v="0"/>
    <n v="0"/>
    <n v="0"/>
    <n v="0"/>
    <n v="0"/>
  </r>
  <r>
    <x v="0"/>
    <x v="5"/>
    <s v="GEN"/>
    <x v="5"/>
    <n v="0"/>
    <n v="0"/>
    <n v="0"/>
    <n v="0"/>
    <n v="0"/>
    <n v="0"/>
    <n v="0"/>
    <n v="0"/>
    <n v="0"/>
    <n v="0"/>
    <n v="0"/>
    <n v="0"/>
    <n v="0"/>
    <n v="0"/>
    <n v="0"/>
    <n v="0"/>
    <n v="0"/>
    <n v="0"/>
  </r>
  <r>
    <x v="0"/>
    <x v="6"/>
    <s v="GEN"/>
    <x v="6"/>
    <n v="0"/>
    <n v="0"/>
    <n v="0"/>
    <n v="0"/>
    <n v="0"/>
    <n v="0"/>
    <n v="0"/>
    <n v="0"/>
    <n v="0"/>
    <n v="0"/>
    <n v="0"/>
    <n v="0"/>
    <n v="0"/>
    <n v="0"/>
    <n v="0"/>
    <n v="0"/>
    <n v="0"/>
    <n v="0"/>
  </r>
  <r>
    <x v="0"/>
    <x v="7"/>
    <s v="GEN"/>
    <x v="7"/>
    <n v="0"/>
    <n v="0"/>
    <n v="0"/>
    <n v="0"/>
    <n v="0"/>
    <n v="0"/>
    <n v="0"/>
    <n v="0"/>
    <n v="0"/>
    <n v="0"/>
    <n v="0"/>
    <n v="0"/>
    <n v="0"/>
    <n v="0"/>
    <n v="0"/>
    <n v="0"/>
    <n v="0"/>
    <n v="0"/>
  </r>
  <r>
    <x v="0"/>
    <x v="8"/>
    <s v="GEN"/>
    <x v="8"/>
    <n v="0"/>
    <n v="0"/>
    <n v="0"/>
    <n v="0"/>
    <n v="0"/>
    <n v="0"/>
    <n v="0"/>
    <n v="0"/>
    <n v="0"/>
    <n v="0"/>
    <n v="0"/>
    <n v="0"/>
    <n v="0"/>
    <n v="0"/>
    <n v="0"/>
    <n v="0"/>
    <n v="0"/>
    <n v="0"/>
  </r>
  <r>
    <x v="0"/>
    <x v="9"/>
    <s v="GEN"/>
    <x v="9"/>
    <n v="0"/>
    <n v="0"/>
    <n v="0"/>
    <n v="0"/>
    <n v="0"/>
    <n v="0"/>
    <n v="0"/>
    <n v="0"/>
    <n v="0"/>
    <n v="0"/>
    <n v="0"/>
    <n v="0"/>
    <n v="0"/>
    <n v="0"/>
    <n v="0"/>
    <n v="0"/>
    <n v="0"/>
    <n v="0"/>
  </r>
  <r>
    <x v="0"/>
    <x v="10"/>
    <s v="GEN"/>
    <x v="10"/>
    <n v="0"/>
    <n v="0"/>
    <n v="0"/>
    <n v="0"/>
    <n v="0"/>
    <n v="0"/>
    <n v="0"/>
    <n v="0"/>
    <n v="0"/>
    <n v="0"/>
    <n v="0"/>
    <n v="0"/>
    <n v="0"/>
    <n v="0"/>
    <n v="0"/>
    <n v="0"/>
    <n v="0"/>
    <n v="0"/>
  </r>
  <r>
    <x v="0"/>
    <x v="11"/>
    <s v="GEN"/>
    <x v="11"/>
    <n v="0"/>
    <n v="0"/>
    <n v="0"/>
    <n v="0"/>
    <n v="0"/>
    <n v="0"/>
    <n v="0"/>
    <n v="0"/>
    <n v="0"/>
    <n v="0"/>
    <n v="0"/>
    <n v="0"/>
    <n v="0"/>
    <n v="0"/>
    <n v="0"/>
    <n v="0"/>
    <n v="0"/>
    <n v="0"/>
  </r>
  <r>
    <x v="0"/>
    <x v="12"/>
    <s v="GEN"/>
    <x v="12"/>
    <n v="0"/>
    <n v="0"/>
    <n v="0"/>
    <n v="0"/>
    <n v="0"/>
    <n v="0"/>
    <n v="0"/>
    <n v="0"/>
    <n v="0"/>
    <n v="0"/>
    <n v="0"/>
    <n v="0"/>
    <n v="0"/>
    <n v="0"/>
    <n v="0"/>
    <n v="0"/>
    <n v="0"/>
    <n v="0"/>
  </r>
  <r>
    <x v="0"/>
    <x v="13"/>
    <s v="GEN"/>
    <x v="13"/>
    <n v="0"/>
    <n v="0"/>
    <n v="0"/>
    <n v="0"/>
    <n v="0"/>
    <n v="0"/>
    <n v="0"/>
    <n v="0"/>
    <n v="0"/>
    <n v="0"/>
    <n v="0"/>
    <n v="0"/>
    <n v="0"/>
    <n v="0"/>
    <n v="0"/>
    <n v="0"/>
    <n v="0"/>
    <n v="0"/>
  </r>
  <r>
    <x v="0"/>
    <x v="14"/>
    <s v="GEN"/>
    <x v="14"/>
    <n v="0"/>
    <n v="0"/>
    <n v="0"/>
    <n v="0"/>
    <n v="0"/>
    <n v="0"/>
    <n v="0"/>
    <n v="0"/>
    <n v="0"/>
    <n v="0"/>
    <n v="0"/>
    <n v="0"/>
    <n v="0"/>
    <n v="0"/>
    <n v="0"/>
    <n v="0"/>
    <n v="0"/>
    <n v="0"/>
  </r>
  <r>
    <x v="0"/>
    <x v="15"/>
    <s v="GEN"/>
    <x v="15"/>
    <n v="0"/>
    <n v="0"/>
    <n v="0"/>
    <n v="0"/>
    <n v="0"/>
    <n v="0"/>
    <n v="0"/>
    <n v="0"/>
    <n v="0"/>
    <n v="0"/>
    <n v="0"/>
    <n v="0"/>
    <n v="0"/>
    <n v="0"/>
    <n v="0"/>
    <n v="0"/>
    <n v="0"/>
    <n v="0"/>
  </r>
  <r>
    <x v="0"/>
    <x v="16"/>
    <s v="GEN"/>
    <x v="16"/>
    <n v="0"/>
    <n v="0"/>
    <n v="0"/>
    <n v="0"/>
    <n v="0"/>
    <n v="0"/>
    <n v="0"/>
    <n v="0"/>
    <n v="0"/>
    <n v="0"/>
    <n v="0"/>
    <n v="0"/>
    <n v="0"/>
    <n v="0"/>
    <n v="0"/>
    <n v="0"/>
    <n v="0"/>
    <n v="0"/>
  </r>
  <r>
    <x v="0"/>
    <x v="17"/>
    <s v="GEN"/>
    <x v="17"/>
    <n v="0"/>
    <n v="0"/>
    <n v="0"/>
    <n v="0"/>
    <n v="0"/>
    <n v="0"/>
    <n v="0"/>
    <n v="0"/>
    <n v="0"/>
    <n v="0"/>
    <n v="0"/>
    <n v="0"/>
    <n v="0"/>
    <n v="0"/>
    <n v="0"/>
    <n v="0"/>
    <n v="0"/>
    <n v="0"/>
  </r>
  <r>
    <x v="0"/>
    <x v="18"/>
    <s v="GEN"/>
    <x v="18"/>
    <n v="0"/>
    <n v="0"/>
    <n v="0"/>
    <n v="0"/>
    <n v="0"/>
    <n v="0"/>
    <n v="0"/>
    <n v="0"/>
    <n v="0"/>
    <n v="0"/>
    <n v="0"/>
    <n v="0"/>
    <n v="0"/>
    <n v="0"/>
    <n v="0"/>
    <n v="0"/>
    <n v="0"/>
    <n v="0"/>
  </r>
  <r>
    <x v="0"/>
    <x v="19"/>
    <s v="GEN"/>
    <x v="19"/>
    <n v="0"/>
    <n v="0"/>
    <n v="0"/>
    <n v="0"/>
    <n v="0"/>
    <n v="0"/>
    <n v="0"/>
    <n v="0"/>
    <n v="0"/>
    <n v="0"/>
    <n v="0"/>
    <n v="0"/>
    <n v="0"/>
    <n v="0"/>
    <n v="0"/>
    <n v="0"/>
    <n v="0"/>
    <n v="0"/>
  </r>
  <r>
    <x v="0"/>
    <x v="20"/>
    <s v="GEN"/>
    <x v="20"/>
    <n v="0"/>
    <n v="0"/>
    <n v="0"/>
    <n v="0"/>
    <n v="0"/>
    <n v="0"/>
    <n v="0"/>
    <n v="0"/>
    <n v="0"/>
    <n v="0"/>
    <n v="0"/>
    <n v="0"/>
    <n v="0"/>
    <n v="0"/>
    <n v="0"/>
    <n v="0"/>
    <n v="0"/>
    <n v="0"/>
  </r>
  <r>
    <x v="1"/>
    <x v="21"/>
    <s v="GEN"/>
    <x v="21"/>
    <n v="0"/>
    <n v="0"/>
    <n v="0"/>
    <n v="0"/>
    <n v="0"/>
    <n v="0"/>
    <n v="0"/>
    <n v="0"/>
    <n v="0"/>
    <n v="0"/>
    <n v="0"/>
    <n v="0"/>
    <n v="0"/>
    <n v="0"/>
    <n v="0"/>
    <n v="0"/>
    <n v="0"/>
    <n v="0"/>
  </r>
  <r>
    <x v="1"/>
    <x v="22"/>
    <s v="GEN"/>
    <x v="22"/>
    <n v="0"/>
    <n v="0"/>
    <n v="0"/>
    <n v="0"/>
    <n v="0"/>
    <n v="0"/>
    <n v="0"/>
    <n v="0"/>
    <n v="0"/>
    <n v="0"/>
    <n v="0"/>
    <n v="0"/>
    <n v="0"/>
    <n v="0"/>
    <n v="0"/>
    <n v="0"/>
    <n v="0"/>
    <n v="0"/>
  </r>
  <r>
    <x v="1"/>
    <x v="23"/>
    <s v="GEN"/>
    <x v="23"/>
    <n v="0"/>
    <n v="0"/>
    <n v="0"/>
    <n v="0"/>
    <n v="0"/>
    <n v="0"/>
    <n v="0"/>
    <n v="0"/>
    <n v="0"/>
    <n v="0"/>
    <n v="0"/>
    <n v="0"/>
    <n v="0"/>
    <n v="0"/>
    <n v="0"/>
    <n v="0"/>
    <n v="0"/>
    <n v="0"/>
  </r>
  <r>
    <x v="1"/>
    <x v="24"/>
    <s v="GEN"/>
    <x v="24"/>
    <n v="0"/>
    <n v="0"/>
    <n v="0"/>
    <n v="0"/>
    <n v="0"/>
    <n v="0"/>
    <n v="0"/>
    <n v="0"/>
    <n v="0"/>
    <n v="0"/>
    <n v="0"/>
    <n v="0"/>
    <n v="0"/>
    <n v="0"/>
    <n v="0"/>
    <n v="0"/>
    <n v="0"/>
    <n v="0"/>
  </r>
  <r>
    <x v="1"/>
    <x v="25"/>
    <s v="GEN"/>
    <x v="25"/>
    <n v="0"/>
    <n v="0"/>
    <n v="0"/>
    <n v="0"/>
    <n v="0"/>
    <n v="0"/>
    <n v="0"/>
    <n v="0"/>
    <n v="0"/>
    <n v="0"/>
    <n v="0"/>
    <n v="0"/>
    <n v="0"/>
    <n v="0"/>
    <n v="0"/>
    <n v="0"/>
    <n v="0"/>
    <n v="0"/>
  </r>
  <r>
    <x v="1"/>
    <x v="26"/>
    <s v="GEN"/>
    <x v="26"/>
    <n v="0"/>
    <n v="0"/>
    <n v="0"/>
    <n v="0"/>
    <n v="0"/>
    <n v="0"/>
    <n v="0"/>
    <n v="0"/>
    <n v="0"/>
    <n v="0"/>
    <n v="0"/>
    <n v="0"/>
    <n v="0"/>
    <n v="0"/>
    <n v="0"/>
    <n v="0"/>
    <n v="0"/>
    <n v="0"/>
  </r>
  <r>
    <x v="1"/>
    <x v="27"/>
    <s v="GEN"/>
    <x v="27"/>
    <n v="0"/>
    <n v="0"/>
    <n v="0"/>
    <n v="0"/>
    <n v="0"/>
    <n v="0"/>
    <n v="0"/>
    <n v="0"/>
    <n v="0"/>
    <n v="0"/>
    <n v="0"/>
    <n v="0"/>
    <n v="0"/>
    <n v="0"/>
    <n v="0"/>
    <n v="0"/>
    <n v="0"/>
    <n v="0"/>
  </r>
  <r>
    <x v="1"/>
    <x v="28"/>
    <s v="GEN"/>
    <x v="28"/>
    <n v="0"/>
    <n v="0"/>
    <n v="0"/>
    <n v="0"/>
    <n v="0"/>
    <n v="0"/>
    <n v="0"/>
    <n v="0"/>
    <n v="0"/>
    <n v="0"/>
    <n v="0"/>
    <n v="0"/>
    <n v="0"/>
    <n v="0"/>
    <n v="0"/>
    <n v="0"/>
    <n v="0"/>
    <n v="0"/>
  </r>
  <r>
    <x v="1"/>
    <x v="29"/>
    <s v="GEN"/>
    <x v="29"/>
    <n v="0"/>
    <n v="0"/>
    <n v="0"/>
    <n v="0"/>
    <n v="0"/>
    <n v="0"/>
    <n v="0"/>
    <n v="0"/>
    <n v="0"/>
    <n v="0"/>
    <n v="0"/>
    <n v="0"/>
    <n v="0"/>
    <n v="0"/>
    <n v="0"/>
    <n v="0"/>
    <n v="0"/>
    <n v="0"/>
  </r>
  <r>
    <x v="1"/>
    <x v="30"/>
    <s v="GEN"/>
    <x v="30"/>
    <n v="0"/>
    <n v="0"/>
    <n v="0"/>
    <n v="0"/>
    <n v="0"/>
    <n v="0"/>
    <n v="0"/>
    <n v="0"/>
    <n v="0"/>
    <n v="0"/>
    <n v="0"/>
    <n v="0"/>
    <n v="0"/>
    <n v="0"/>
    <n v="0"/>
    <n v="0"/>
    <n v="0"/>
    <n v="0"/>
  </r>
  <r>
    <x v="1"/>
    <x v="31"/>
    <s v="GEN"/>
    <x v="31"/>
    <n v="0"/>
    <n v="0"/>
    <n v="0"/>
    <n v="0"/>
    <n v="0"/>
    <n v="0"/>
    <n v="0"/>
    <n v="0"/>
    <n v="0"/>
    <n v="0"/>
    <n v="0"/>
    <n v="0"/>
    <n v="0"/>
    <n v="0"/>
    <n v="0"/>
    <n v="0"/>
    <n v="0"/>
    <n v="0"/>
  </r>
  <r>
    <x v="1"/>
    <x v="32"/>
    <s v="GEN"/>
    <x v="32"/>
    <n v="0"/>
    <n v="0"/>
    <n v="0"/>
    <n v="0"/>
    <n v="0"/>
    <n v="0"/>
    <n v="0"/>
    <n v="0"/>
    <n v="0"/>
    <n v="0"/>
    <n v="0"/>
    <n v="0"/>
    <n v="0"/>
    <n v="0"/>
    <n v="0"/>
    <n v="0"/>
    <n v="0"/>
    <n v="0"/>
  </r>
  <r>
    <x v="1"/>
    <x v="33"/>
    <s v="GEN"/>
    <x v="33"/>
    <n v="0"/>
    <n v="0"/>
    <n v="0"/>
    <n v="0"/>
    <n v="0"/>
    <n v="0"/>
    <n v="0"/>
    <n v="0"/>
    <n v="0"/>
    <n v="0"/>
    <n v="0"/>
    <n v="0"/>
    <n v="0"/>
    <n v="0"/>
    <n v="0"/>
    <n v="0"/>
    <n v="0"/>
    <n v="0"/>
  </r>
  <r>
    <x v="1"/>
    <x v="34"/>
    <s v="GEN"/>
    <x v="34"/>
    <n v="0"/>
    <n v="0"/>
    <n v="0"/>
    <n v="0"/>
    <n v="0"/>
    <n v="0"/>
    <n v="0"/>
    <n v="0"/>
    <n v="0"/>
    <n v="0"/>
    <n v="0"/>
    <n v="0"/>
    <n v="0"/>
    <n v="0"/>
    <n v="0"/>
    <n v="0"/>
    <n v="0"/>
    <n v="0"/>
  </r>
  <r>
    <x v="1"/>
    <x v="35"/>
    <s v="GEN"/>
    <x v="35"/>
    <n v="0"/>
    <n v="0"/>
    <n v="0"/>
    <n v="0"/>
    <n v="0"/>
    <n v="0"/>
    <n v="0"/>
    <n v="0"/>
    <n v="0"/>
    <n v="0"/>
    <n v="0"/>
    <n v="0"/>
    <n v="0"/>
    <n v="0"/>
    <n v="0"/>
    <n v="0"/>
    <n v="0"/>
    <n v="0"/>
  </r>
  <r>
    <x v="1"/>
    <x v="36"/>
    <s v="GEN"/>
    <x v="36"/>
    <n v="0"/>
    <n v="0"/>
    <n v="0"/>
    <n v="0"/>
    <n v="0"/>
    <n v="0"/>
    <n v="0"/>
    <n v="0"/>
    <n v="0"/>
    <n v="0"/>
    <n v="0"/>
    <n v="0"/>
    <n v="0"/>
    <n v="0"/>
    <n v="0"/>
    <n v="0"/>
    <n v="0"/>
    <n v="0"/>
  </r>
  <r>
    <x v="1"/>
    <x v="37"/>
    <s v="GEN"/>
    <x v="37"/>
    <n v="0"/>
    <n v="0"/>
    <n v="0"/>
    <n v="0"/>
    <n v="0"/>
    <n v="0"/>
    <n v="0"/>
    <n v="0"/>
    <n v="0"/>
    <n v="0"/>
    <n v="0"/>
    <n v="0"/>
    <n v="0"/>
    <n v="0"/>
    <n v="0"/>
    <n v="0"/>
    <n v="0"/>
    <n v="0"/>
  </r>
  <r>
    <x v="1"/>
    <x v="38"/>
    <s v="GEN"/>
    <x v="38"/>
    <n v="0"/>
    <n v="0"/>
    <n v="0"/>
    <n v="0"/>
    <n v="0"/>
    <n v="0"/>
    <n v="0"/>
    <n v="0"/>
    <n v="0"/>
    <n v="0"/>
    <n v="0"/>
    <n v="0"/>
    <n v="0"/>
    <n v="0"/>
    <n v="0"/>
    <n v="0"/>
    <n v="0"/>
    <n v="0"/>
  </r>
  <r>
    <x v="2"/>
    <x v="39"/>
    <s v="GEN"/>
    <x v="39"/>
    <n v="0"/>
    <n v="0"/>
    <n v="0"/>
    <n v="0"/>
    <n v="0"/>
    <n v="0"/>
    <n v="0"/>
    <n v="0"/>
    <n v="0"/>
    <n v="0"/>
    <n v="0"/>
    <n v="0"/>
    <n v="0"/>
    <n v="0"/>
    <n v="0"/>
    <n v="0"/>
    <n v="0"/>
    <n v="0"/>
  </r>
  <r>
    <x v="2"/>
    <x v="40"/>
    <s v="GEN"/>
    <x v="40"/>
    <n v="0"/>
    <n v="0"/>
    <n v="0"/>
    <n v="0"/>
    <n v="0"/>
    <n v="0"/>
    <n v="0"/>
    <n v="0"/>
    <n v="0"/>
    <n v="0"/>
    <n v="0"/>
    <n v="0"/>
    <n v="0"/>
    <n v="0"/>
    <n v="0"/>
    <n v="0"/>
    <n v="0"/>
    <n v="0"/>
  </r>
  <r>
    <x v="2"/>
    <x v="41"/>
    <s v="GEN"/>
    <x v="41"/>
    <n v="0"/>
    <n v="0"/>
    <n v="0"/>
    <n v="0"/>
    <n v="0"/>
    <n v="0"/>
    <n v="0"/>
    <n v="0"/>
    <n v="0"/>
    <n v="0"/>
    <n v="0"/>
    <n v="0"/>
    <n v="0"/>
    <n v="0"/>
    <n v="0"/>
    <n v="0"/>
    <n v="0"/>
    <n v="0"/>
  </r>
  <r>
    <x v="2"/>
    <x v="42"/>
    <s v="GEN"/>
    <x v="42"/>
    <n v="0"/>
    <n v="0"/>
    <n v="0"/>
    <n v="0"/>
    <n v="0"/>
    <n v="0"/>
    <n v="0"/>
    <n v="0"/>
    <n v="0"/>
    <n v="0"/>
    <n v="0"/>
    <n v="0"/>
    <n v="0"/>
    <n v="0"/>
    <n v="0"/>
    <n v="0"/>
    <n v="0"/>
    <n v="0"/>
  </r>
  <r>
    <x v="2"/>
    <x v="43"/>
    <s v="GEN"/>
    <x v="43"/>
    <n v="0"/>
    <n v="0"/>
    <n v="0"/>
    <n v="0"/>
    <n v="0"/>
    <n v="0"/>
    <n v="0"/>
    <n v="0"/>
    <n v="0"/>
    <n v="0"/>
    <n v="0"/>
    <n v="0"/>
    <n v="0"/>
    <n v="0"/>
    <n v="0"/>
    <n v="0"/>
    <n v="0"/>
    <n v="0"/>
  </r>
  <r>
    <x v="2"/>
    <x v="44"/>
    <s v="GEN"/>
    <x v="44"/>
    <n v="0"/>
    <n v="0"/>
    <n v="0"/>
    <n v="0"/>
    <n v="0"/>
    <n v="0"/>
    <n v="0"/>
    <n v="0"/>
    <n v="0"/>
    <n v="0"/>
    <n v="0"/>
    <n v="0"/>
    <n v="0"/>
    <n v="0"/>
    <n v="0"/>
    <n v="0"/>
    <n v="0"/>
    <n v="0"/>
  </r>
  <r>
    <x v="2"/>
    <x v="45"/>
    <s v="GEN"/>
    <x v="45"/>
    <n v="0"/>
    <n v="0"/>
    <n v="0"/>
    <n v="0"/>
    <n v="0"/>
    <n v="0"/>
    <n v="0"/>
    <n v="0"/>
    <n v="0"/>
    <n v="0"/>
    <n v="0"/>
    <n v="0"/>
    <n v="0"/>
    <n v="0"/>
    <n v="0"/>
    <n v="0"/>
    <n v="0"/>
    <n v="0"/>
  </r>
  <r>
    <x v="2"/>
    <x v="46"/>
    <s v="GEN"/>
    <x v="46"/>
    <n v="0"/>
    <n v="0"/>
    <n v="0"/>
    <n v="0"/>
    <n v="0"/>
    <n v="0"/>
    <n v="0"/>
    <n v="0"/>
    <n v="0"/>
    <n v="0"/>
    <n v="0"/>
    <n v="0"/>
    <n v="0"/>
    <n v="0"/>
    <n v="0"/>
    <n v="0"/>
    <n v="0"/>
    <n v="0"/>
  </r>
  <r>
    <x v="2"/>
    <x v="47"/>
    <s v="GEN"/>
    <x v="47"/>
    <n v="0"/>
    <n v="0"/>
    <n v="0"/>
    <n v="0"/>
    <n v="0"/>
    <n v="0"/>
    <n v="0"/>
    <n v="0"/>
    <n v="0"/>
    <n v="0"/>
    <n v="0"/>
    <n v="0"/>
    <n v="0"/>
    <n v="0"/>
    <n v="0"/>
    <n v="0"/>
    <n v="0"/>
    <n v="0"/>
  </r>
  <r>
    <x v="2"/>
    <x v="48"/>
    <s v="GEN"/>
    <x v="48"/>
    <n v="0"/>
    <n v="0"/>
    <n v="0"/>
    <n v="0"/>
    <n v="0"/>
    <n v="0"/>
    <n v="0"/>
    <n v="0"/>
    <n v="0"/>
    <n v="0"/>
    <n v="0"/>
    <n v="0"/>
    <n v="0"/>
    <n v="0"/>
    <n v="0"/>
    <n v="0"/>
    <n v="0"/>
    <n v="0"/>
  </r>
  <r>
    <x v="2"/>
    <x v="49"/>
    <s v="GEN"/>
    <x v="49"/>
    <n v="0"/>
    <n v="0"/>
    <n v="0"/>
    <n v="0"/>
    <n v="0"/>
    <n v="0"/>
    <n v="0"/>
    <n v="0"/>
    <n v="0"/>
    <n v="0"/>
    <n v="0"/>
    <n v="0"/>
    <n v="0"/>
    <n v="0"/>
    <n v="0"/>
    <n v="0"/>
    <n v="0"/>
    <n v="0"/>
  </r>
  <r>
    <x v="2"/>
    <x v="50"/>
    <s v="GEN"/>
    <x v="50"/>
    <n v="0"/>
    <n v="0"/>
    <n v="0"/>
    <n v="0"/>
    <n v="0"/>
    <n v="0"/>
    <n v="0"/>
    <n v="0"/>
    <n v="0"/>
    <n v="0"/>
    <n v="0"/>
    <n v="0"/>
    <n v="0"/>
    <n v="0"/>
    <n v="0"/>
    <n v="0"/>
    <n v="0"/>
    <n v="0"/>
  </r>
  <r>
    <x v="2"/>
    <x v="51"/>
    <s v="GEN"/>
    <x v="51"/>
    <n v="0"/>
    <n v="0"/>
    <n v="0"/>
    <n v="0"/>
    <n v="0"/>
    <n v="0"/>
    <n v="0"/>
    <n v="0"/>
    <n v="0"/>
    <n v="0"/>
    <n v="0"/>
    <n v="0"/>
    <n v="0"/>
    <n v="0"/>
    <n v="0"/>
    <n v="0"/>
    <n v="0"/>
    <n v="0"/>
  </r>
  <r>
    <x v="2"/>
    <x v="52"/>
    <s v="GEN"/>
    <x v="52"/>
    <n v="0"/>
    <n v="0"/>
    <n v="0"/>
    <n v="0"/>
    <n v="0"/>
    <n v="0"/>
    <n v="0"/>
    <n v="0"/>
    <n v="0"/>
    <n v="0"/>
    <n v="0"/>
    <n v="0"/>
    <n v="0"/>
    <n v="0"/>
    <n v="0"/>
    <n v="0"/>
    <n v="0"/>
    <n v="0"/>
  </r>
  <r>
    <x v="2"/>
    <x v="53"/>
    <s v="GEN"/>
    <x v="53"/>
    <n v="0"/>
    <n v="0"/>
    <n v="0"/>
    <n v="0"/>
    <n v="0"/>
    <n v="0"/>
    <n v="0"/>
    <n v="0"/>
    <n v="0"/>
    <n v="0"/>
    <n v="0"/>
    <n v="0"/>
    <n v="0"/>
    <n v="0"/>
    <n v="0"/>
    <n v="0"/>
    <n v="0"/>
    <n v="0"/>
  </r>
  <r>
    <x v="2"/>
    <x v="54"/>
    <s v="GEN"/>
    <x v="54"/>
    <n v="0"/>
    <n v="0"/>
    <n v="0"/>
    <n v="0"/>
    <n v="0"/>
    <n v="0"/>
    <n v="0"/>
    <n v="0"/>
    <n v="0"/>
    <n v="0"/>
    <n v="0"/>
    <n v="0"/>
    <n v="0"/>
    <n v="0"/>
    <n v="0"/>
    <n v="0"/>
    <n v="0"/>
    <n v="0"/>
  </r>
  <r>
    <x v="2"/>
    <x v="55"/>
    <s v="GEN"/>
    <x v="55"/>
    <n v="0"/>
    <n v="0"/>
    <n v="0"/>
    <n v="0"/>
    <n v="0"/>
    <n v="0"/>
    <n v="0"/>
    <n v="0"/>
    <n v="0"/>
    <n v="0"/>
    <n v="0"/>
    <n v="0"/>
    <n v="0"/>
    <n v="0"/>
    <n v="0"/>
    <n v="0"/>
    <n v="0"/>
    <n v="0"/>
  </r>
  <r>
    <x v="2"/>
    <x v="56"/>
    <s v="GEN"/>
    <x v="56"/>
    <n v="0"/>
    <n v="0"/>
    <n v="0"/>
    <n v="0"/>
    <n v="0"/>
    <n v="0"/>
    <n v="0"/>
    <n v="0"/>
    <n v="0"/>
    <n v="0"/>
    <n v="0"/>
    <n v="0"/>
    <n v="0"/>
    <n v="0"/>
    <n v="0"/>
    <n v="0"/>
    <n v="0"/>
    <n v="0"/>
  </r>
  <r>
    <x v="2"/>
    <x v="57"/>
    <s v="GEN"/>
    <x v="57"/>
    <n v="0"/>
    <n v="0"/>
    <n v="0"/>
    <n v="0"/>
    <n v="0"/>
    <n v="0"/>
    <n v="0"/>
    <n v="0"/>
    <n v="0"/>
    <n v="0"/>
    <n v="0"/>
    <n v="0"/>
    <n v="0"/>
    <n v="0"/>
    <n v="0"/>
    <n v="0"/>
    <n v="0"/>
    <n v="0"/>
  </r>
  <r>
    <x v="2"/>
    <x v="58"/>
    <s v="GEN"/>
    <x v="58"/>
    <n v="0"/>
    <n v="0"/>
    <n v="0"/>
    <n v="0"/>
    <n v="0"/>
    <n v="0"/>
    <n v="0"/>
    <n v="0"/>
    <n v="0"/>
    <n v="0"/>
    <n v="0"/>
    <n v="0"/>
    <n v="0"/>
    <n v="0"/>
    <n v="0"/>
    <n v="0"/>
    <n v="0"/>
    <n v="0"/>
  </r>
  <r>
    <x v="2"/>
    <x v="59"/>
    <s v="GEN"/>
    <x v="59"/>
    <n v="0"/>
    <n v="0"/>
    <n v="0"/>
    <n v="0"/>
    <n v="0"/>
    <n v="0"/>
    <n v="0"/>
    <n v="0"/>
    <n v="0"/>
    <n v="0"/>
    <n v="0"/>
    <n v="0"/>
    <n v="0"/>
    <n v="0"/>
    <n v="0"/>
    <n v="0"/>
    <n v="0"/>
    <n v="0"/>
  </r>
  <r>
    <x v="2"/>
    <x v="60"/>
    <s v="GEN"/>
    <x v="60"/>
    <n v="0"/>
    <n v="0"/>
    <n v="0"/>
    <n v="0"/>
    <n v="0"/>
    <n v="0"/>
    <n v="0"/>
    <n v="0"/>
    <n v="0"/>
    <n v="0"/>
    <n v="0"/>
    <n v="0"/>
    <n v="0"/>
    <n v="0"/>
    <n v="0"/>
    <n v="0"/>
    <n v="0"/>
    <n v="0"/>
  </r>
  <r>
    <x v="3"/>
    <x v="61"/>
    <s v="GEN"/>
    <x v="61"/>
    <n v="0"/>
    <n v="0"/>
    <n v="0"/>
    <n v="0"/>
    <n v="0"/>
    <n v="0"/>
    <n v="0"/>
    <n v="0"/>
    <n v="0"/>
    <n v="0"/>
    <n v="0"/>
    <n v="0"/>
    <n v="0"/>
    <n v="0"/>
    <n v="0"/>
    <n v="0"/>
    <n v="0"/>
    <n v="0"/>
  </r>
  <r>
    <x v="3"/>
    <x v="62"/>
    <s v="GEN"/>
    <x v="62"/>
    <n v="0"/>
    <n v="0"/>
    <n v="0"/>
    <n v="0"/>
    <n v="0"/>
    <n v="0"/>
    <n v="0"/>
    <n v="0"/>
    <n v="0"/>
    <n v="0"/>
    <n v="0"/>
    <n v="0"/>
    <n v="0"/>
    <n v="0"/>
    <n v="0"/>
    <n v="0"/>
    <n v="0"/>
    <n v="0"/>
  </r>
  <r>
    <x v="3"/>
    <x v="63"/>
    <s v="GEN"/>
    <x v="63"/>
    <n v="0"/>
    <n v="0"/>
    <n v="0"/>
    <n v="0"/>
    <n v="0"/>
    <n v="0"/>
    <n v="0"/>
    <n v="0"/>
    <n v="0"/>
    <n v="0"/>
    <n v="0"/>
    <n v="0"/>
    <n v="0"/>
    <n v="0"/>
    <n v="0"/>
    <n v="0"/>
    <n v="0"/>
    <n v="0"/>
  </r>
  <r>
    <x v="3"/>
    <x v="64"/>
    <s v="GEN"/>
    <x v="64"/>
    <n v="0"/>
    <n v="0"/>
    <n v="0"/>
    <n v="0"/>
    <n v="0"/>
    <n v="0"/>
    <n v="0"/>
    <n v="0"/>
    <n v="0"/>
    <n v="0"/>
    <n v="0"/>
    <n v="0"/>
    <n v="0"/>
    <n v="0"/>
    <n v="0"/>
    <n v="0"/>
    <n v="0"/>
    <n v="0"/>
  </r>
  <r>
    <x v="3"/>
    <x v="65"/>
    <s v="GEN"/>
    <x v="65"/>
    <n v="0"/>
    <n v="0"/>
    <n v="0"/>
    <n v="0"/>
    <n v="0"/>
    <n v="0"/>
    <n v="0"/>
    <n v="0"/>
    <n v="0"/>
    <n v="0"/>
    <n v="0"/>
    <n v="0"/>
    <n v="0"/>
    <n v="0"/>
    <n v="0"/>
    <n v="0"/>
    <n v="0"/>
    <n v="0"/>
  </r>
  <r>
    <x v="3"/>
    <x v="66"/>
    <s v="GEN"/>
    <x v="66"/>
    <n v="0"/>
    <n v="0"/>
    <n v="0"/>
    <n v="0"/>
    <n v="0"/>
    <n v="0"/>
    <n v="0"/>
    <n v="0"/>
    <n v="0"/>
    <n v="0"/>
    <n v="0"/>
    <n v="0"/>
    <n v="0"/>
    <n v="0"/>
    <n v="0"/>
    <n v="0"/>
    <n v="0"/>
    <n v="0"/>
  </r>
  <r>
    <x v="3"/>
    <x v="67"/>
    <s v="GEN"/>
    <x v="67"/>
    <n v="0"/>
    <n v="0"/>
    <n v="0"/>
    <n v="0"/>
    <n v="0"/>
    <n v="0"/>
    <n v="0"/>
    <n v="0"/>
    <n v="0"/>
    <n v="0"/>
    <n v="0"/>
    <n v="0"/>
    <n v="0"/>
    <n v="0"/>
    <n v="0"/>
    <n v="0"/>
    <n v="0"/>
    <n v="0"/>
  </r>
  <r>
    <x v="3"/>
    <x v="68"/>
    <s v="GEN"/>
    <x v="68"/>
    <n v="0"/>
    <n v="0"/>
    <n v="0"/>
    <n v="0"/>
    <n v="0"/>
    <n v="0"/>
    <n v="0"/>
    <n v="0"/>
    <n v="0"/>
    <n v="0"/>
    <n v="0"/>
    <n v="0"/>
    <n v="0"/>
    <n v="0"/>
    <n v="0"/>
    <n v="0"/>
    <n v="0"/>
    <n v="0"/>
  </r>
  <r>
    <x v="3"/>
    <x v="69"/>
    <s v="GEN"/>
    <x v="69"/>
    <n v="0"/>
    <n v="0"/>
    <n v="0"/>
    <n v="0"/>
    <n v="0"/>
    <n v="0"/>
    <n v="0"/>
    <n v="0"/>
    <n v="0"/>
    <n v="0"/>
    <n v="0"/>
    <n v="0"/>
    <n v="0"/>
    <n v="0"/>
    <n v="0"/>
    <n v="0"/>
    <n v="0"/>
    <n v="0"/>
  </r>
  <r>
    <x v="3"/>
    <x v="70"/>
    <s v="GEN"/>
    <x v="70"/>
    <n v="0"/>
    <n v="0"/>
    <n v="0"/>
    <n v="0"/>
    <n v="0"/>
    <n v="0"/>
    <n v="0"/>
    <n v="0"/>
    <n v="0"/>
    <n v="0"/>
    <n v="0"/>
    <n v="0"/>
    <n v="0"/>
    <n v="0"/>
    <n v="0"/>
    <n v="0"/>
    <n v="0"/>
    <n v="0"/>
  </r>
  <r>
    <x v="3"/>
    <x v="71"/>
    <s v="GEN"/>
    <x v="71"/>
    <n v="0"/>
    <n v="0"/>
    <n v="0"/>
    <n v="0"/>
    <n v="0"/>
    <n v="0"/>
    <n v="0"/>
    <n v="0"/>
    <n v="0"/>
    <n v="0"/>
    <n v="0"/>
    <n v="0"/>
    <n v="0"/>
    <n v="0"/>
    <n v="0"/>
    <n v="0"/>
    <n v="0"/>
    <n v="0"/>
  </r>
  <r>
    <x v="3"/>
    <x v="72"/>
    <s v="GEN"/>
    <x v="72"/>
    <n v="0"/>
    <n v="0"/>
    <n v="0"/>
    <n v="0"/>
    <n v="0"/>
    <n v="0"/>
    <n v="0"/>
    <n v="0"/>
    <n v="0"/>
    <n v="0"/>
    <n v="0"/>
    <n v="0"/>
    <n v="0"/>
    <n v="0"/>
    <n v="0"/>
    <n v="0"/>
    <n v="0"/>
    <n v="0"/>
  </r>
  <r>
    <x v="3"/>
    <x v="73"/>
    <s v="GEN"/>
    <x v="73"/>
    <n v="0"/>
    <n v="0"/>
    <n v="0"/>
    <n v="0"/>
    <n v="0"/>
    <n v="0"/>
    <n v="0"/>
    <n v="0"/>
    <n v="0"/>
    <n v="0"/>
    <n v="0"/>
    <n v="0"/>
    <n v="0"/>
    <n v="0"/>
    <n v="0"/>
    <n v="0"/>
    <n v="0"/>
    <n v="0"/>
  </r>
  <r>
    <x v="3"/>
    <x v="74"/>
    <s v="GEN"/>
    <x v="74"/>
    <n v="0"/>
    <n v="0"/>
    <n v="0"/>
    <n v="0"/>
    <n v="0"/>
    <n v="0"/>
    <n v="0"/>
    <n v="0"/>
    <n v="0"/>
    <n v="0"/>
    <n v="0"/>
    <n v="0"/>
    <n v="0"/>
    <n v="0"/>
    <n v="0"/>
    <n v="0"/>
    <n v="0"/>
    <n v="0"/>
  </r>
  <r>
    <x v="4"/>
    <x v="75"/>
    <s v="GEN"/>
    <x v="75"/>
    <n v="0"/>
    <n v="0"/>
    <n v="0"/>
    <n v="0"/>
    <n v="0"/>
    <n v="0"/>
    <n v="0"/>
    <n v="0"/>
    <n v="0"/>
    <n v="0"/>
    <n v="0"/>
    <n v="0"/>
    <n v="0"/>
    <n v="0"/>
    <n v="0"/>
    <n v="0"/>
    <n v="0"/>
    <n v="0"/>
  </r>
  <r>
    <x v="4"/>
    <x v="75"/>
    <s v="LOAD"/>
    <x v="76"/>
    <n v="0"/>
    <n v="0"/>
    <n v="0"/>
    <n v="0"/>
    <n v="0"/>
    <n v="0"/>
    <n v="0"/>
    <n v="0"/>
    <n v="0"/>
    <n v="0"/>
    <n v="0"/>
    <n v="0"/>
    <n v="0"/>
    <n v="0"/>
    <n v="0"/>
    <n v="0"/>
    <n v="0"/>
    <n v="0"/>
  </r>
  <r>
    <x v="4"/>
    <x v="76"/>
    <s v="GEN"/>
    <x v="77"/>
    <n v="0"/>
    <n v="0"/>
    <n v="0"/>
    <n v="0"/>
    <n v="0"/>
    <n v="0"/>
    <n v="0"/>
    <n v="0"/>
    <n v="0"/>
    <n v="0"/>
    <n v="0"/>
    <n v="0"/>
    <n v="0"/>
    <n v="0"/>
    <n v="0"/>
    <n v="0"/>
    <n v="0"/>
    <n v="0"/>
  </r>
  <r>
    <x v="4"/>
    <x v="76"/>
    <s v="LOAD"/>
    <x v="78"/>
    <n v="0"/>
    <n v="0"/>
    <n v="0"/>
    <n v="0"/>
    <n v="0"/>
    <n v="0"/>
    <n v="0"/>
    <n v="0"/>
    <n v="0"/>
    <n v="0"/>
    <n v="0"/>
    <n v="0"/>
    <n v="0"/>
    <n v="0"/>
    <n v="0"/>
    <n v="0"/>
    <n v="0"/>
    <n v="0"/>
  </r>
  <r>
    <x v="4"/>
    <x v="77"/>
    <s v="GEN"/>
    <x v="79"/>
    <n v="0"/>
    <n v="0"/>
    <n v="0"/>
    <n v="0"/>
    <n v="0"/>
    <n v="0"/>
    <n v="0"/>
    <n v="0"/>
    <n v="0"/>
    <n v="0"/>
    <n v="0"/>
    <n v="0"/>
    <n v="0"/>
    <n v="0"/>
    <n v="0"/>
    <n v="0"/>
    <n v="0"/>
    <n v="0"/>
  </r>
  <r>
    <x v="4"/>
    <x v="77"/>
    <s v="LOAD"/>
    <x v="80"/>
    <n v="0"/>
    <n v="0"/>
    <n v="0"/>
    <n v="0"/>
    <n v="0"/>
    <n v="0"/>
    <n v="0"/>
    <n v="0"/>
    <n v="0"/>
    <n v="0"/>
    <n v="0"/>
    <n v="0"/>
    <n v="0"/>
    <n v="0"/>
    <n v="0"/>
    <n v="0"/>
    <n v="0"/>
    <n v="0"/>
  </r>
  <r>
    <x v="5"/>
    <x v="78"/>
    <s v="GEN"/>
    <x v="81"/>
    <n v="0"/>
    <n v="0"/>
    <n v="0"/>
    <n v="0"/>
    <n v="0"/>
    <n v="0"/>
    <n v="0"/>
    <n v="0"/>
    <n v="0"/>
    <n v="0"/>
    <n v="0"/>
    <n v="0"/>
    <n v="0"/>
    <n v="0"/>
    <n v="0"/>
    <n v="0"/>
    <n v="0"/>
    <n v="0"/>
  </r>
  <r>
    <x v="5"/>
    <x v="79"/>
    <s v="GEN"/>
    <x v="82"/>
    <n v="0"/>
    <n v="0"/>
    <n v="0"/>
    <n v="0"/>
    <n v="0"/>
    <n v="0"/>
    <n v="0"/>
    <n v="0"/>
    <n v="0"/>
    <n v="0"/>
    <n v="0"/>
    <n v="0"/>
    <n v="0"/>
    <n v="0"/>
    <n v="0"/>
    <n v="0"/>
    <n v="0"/>
    <n v="0"/>
  </r>
  <r>
    <x v="6"/>
    <x v="80"/>
    <s v="GEN"/>
    <x v="83"/>
    <n v="0"/>
    <n v="0"/>
    <n v="0"/>
    <n v="0"/>
    <n v="0"/>
    <n v="0"/>
    <n v="0"/>
    <n v="0"/>
    <n v="0"/>
    <n v="0"/>
    <n v="0"/>
    <n v="0"/>
    <n v="0"/>
    <n v="0"/>
    <n v="0"/>
    <n v="0"/>
    <n v="0"/>
    <n v="0"/>
  </r>
  <r>
    <x v="6"/>
    <x v="81"/>
    <s v="GEN"/>
    <x v="84"/>
    <n v="0"/>
    <n v="0"/>
    <n v="0"/>
    <n v="0"/>
    <n v="0"/>
    <n v="0"/>
    <n v="0"/>
    <n v="0"/>
    <n v="0"/>
    <n v="0"/>
    <n v="0"/>
    <n v="0"/>
    <n v="0"/>
    <n v="0"/>
    <n v="0"/>
    <n v="0"/>
    <n v="0"/>
    <n v="0"/>
  </r>
  <r>
    <x v="6"/>
    <x v="82"/>
    <s v="GEN"/>
    <x v="85"/>
    <n v="0"/>
    <n v="0"/>
    <n v="0"/>
    <n v="0"/>
    <n v="0"/>
    <n v="0"/>
    <n v="0"/>
    <n v="0"/>
    <n v="0"/>
    <n v="0"/>
    <n v="0"/>
    <n v="0"/>
    <n v="0"/>
    <n v="0"/>
    <n v="0"/>
    <n v="0"/>
    <n v="0"/>
    <n v="0"/>
  </r>
  <r>
    <x v="6"/>
    <x v="83"/>
    <s v="GEN"/>
    <x v="86"/>
    <n v="0"/>
    <n v="0"/>
    <n v="0"/>
    <n v="0"/>
    <n v="0"/>
    <n v="0"/>
    <n v="0"/>
    <n v="0"/>
    <n v="0"/>
    <n v="0"/>
    <n v="0"/>
    <n v="0"/>
    <n v="0"/>
    <n v="0"/>
    <n v="0"/>
    <n v="0"/>
    <n v="0"/>
    <n v="0"/>
  </r>
  <r>
    <x v="7"/>
    <x v="84"/>
    <s v="GEN"/>
    <x v="87"/>
    <n v="0"/>
    <n v="0"/>
    <n v="0"/>
    <n v="0"/>
    <n v="0"/>
    <n v="0"/>
    <n v="0"/>
    <n v="0"/>
    <n v="0"/>
    <n v="0"/>
    <n v="0"/>
    <n v="0"/>
    <n v="0"/>
    <n v="0"/>
    <n v="0"/>
    <n v="0"/>
    <n v="0"/>
    <n v="0"/>
  </r>
  <r>
    <x v="7"/>
    <x v="85"/>
    <s v="GEN"/>
    <x v="88"/>
    <n v="0"/>
    <n v="0"/>
    <n v="0"/>
    <n v="0"/>
    <n v="0"/>
    <n v="0"/>
    <n v="0"/>
    <n v="0"/>
    <n v="0"/>
    <n v="0"/>
    <n v="0"/>
    <n v="0"/>
    <n v="0"/>
    <n v="0"/>
    <n v="0"/>
    <n v="0"/>
    <n v="0"/>
    <n v="0"/>
  </r>
  <r>
    <x v="7"/>
    <x v="86"/>
    <s v="GEN"/>
    <x v="89"/>
    <n v="0"/>
    <n v="0"/>
    <n v="0"/>
    <n v="0"/>
    <n v="0"/>
    <n v="0"/>
    <n v="0"/>
    <n v="0"/>
    <n v="0"/>
    <n v="0"/>
    <n v="0"/>
    <n v="0"/>
    <n v="0"/>
    <n v="0"/>
    <n v="0"/>
    <n v="0"/>
    <n v="0"/>
    <n v="0"/>
  </r>
  <r>
    <x v="7"/>
    <x v="87"/>
    <s v="GEN"/>
    <x v="90"/>
    <n v="0"/>
    <n v="0"/>
    <n v="0"/>
    <n v="0"/>
    <n v="0"/>
    <n v="0"/>
    <n v="0"/>
    <n v="0"/>
    <n v="0"/>
    <n v="0"/>
    <n v="0"/>
    <n v="0"/>
    <n v="0"/>
    <n v="0"/>
    <n v="0"/>
    <n v="0"/>
    <n v="0"/>
    <n v="0"/>
  </r>
  <r>
    <x v="7"/>
    <x v="88"/>
    <s v="GEN"/>
    <x v="91"/>
    <n v="0"/>
    <n v="0"/>
    <n v="0"/>
    <n v="0"/>
    <n v="0"/>
    <n v="0"/>
    <n v="0"/>
    <n v="0"/>
    <n v="0"/>
    <n v="0"/>
    <n v="0"/>
    <n v="0"/>
    <n v="0"/>
    <n v="0"/>
    <n v="0"/>
    <n v="0"/>
    <n v="0"/>
    <n v="0"/>
  </r>
  <r>
    <x v="7"/>
    <x v="89"/>
    <s v="GEN"/>
    <x v="92"/>
    <n v="0"/>
    <n v="0"/>
    <n v="0"/>
    <n v="0"/>
    <n v="0"/>
    <n v="0"/>
    <n v="0"/>
    <n v="0"/>
    <n v="0"/>
    <n v="0"/>
    <n v="0"/>
    <n v="0"/>
    <n v="0"/>
    <n v="0"/>
    <n v="0"/>
    <n v="0"/>
    <n v="0"/>
    <n v="0"/>
  </r>
  <r>
    <x v="7"/>
    <x v="90"/>
    <s v="GEN"/>
    <x v="93"/>
    <n v="0"/>
    <n v="0"/>
    <n v="0"/>
    <n v="0"/>
    <n v="0"/>
    <n v="0"/>
    <n v="0"/>
    <n v="0"/>
    <n v="0"/>
    <n v="0"/>
    <n v="0"/>
    <n v="0"/>
    <n v="0"/>
    <n v="0"/>
    <n v="0"/>
    <n v="0"/>
    <n v="0"/>
    <n v="0"/>
  </r>
  <r>
    <x v="7"/>
    <x v="91"/>
    <s v="GEN"/>
    <x v="94"/>
    <n v="0"/>
    <n v="0"/>
    <n v="0"/>
    <n v="0"/>
    <n v="0"/>
    <n v="0"/>
    <n v="0"/>
    <n v="0"/>
    <n v="0"/>
    <n v="0"/>
    <n v="0"/>
    <n v="0"/>
    <n v="0"/>
    <n v="0"/>
    <n v="0"/>
    <n v="0"/>
    <n v="0"/>
    <n v="0"/>
  </r>
  <r>
    <x v="7"/>
    <x v="92"/>
    <s v="GEN"/>
    <x v="95"/>
    <n v="0"/>
    <n v="0"/>
    <n v="0"/>
    <n v="0"/>
    <n v="0"/>
    <n v="0"/>
    <n v="0"/>
    <n v="0"/>
    <n v="0"/>
    <n v="0"/>
    <n v="0"/>
    <n v="0"/>
    <n v="0"/>
    <n v="0"/>
    <n v="0"/>
    <n v="0"/>
    <n v="0"/>
    <n v="0"/>
  </r>
  <r>
    <x v="7"/>
    <x v="93"/>
    <s v="GEN"/>
    <x v="96"/>
    <n v="0"/>
    <n v="0"/>
    <n v="0"/>
    <n v="0"/>
    <n v="0"/>
    <n v="0"/>
    <n v="0"/>
    <n v="0"/>
    <n v="0"/>
    <n v="0"/>
    <n v="0"/>
    <n v="0"/>
    <n v="0"/>
    <n v="0"/>
    <n v="0"/>
    <n v="0"/>
    <n v="0"/>
    <n v="0"/>
  </r>
  <r>
    <x v="8"/>
    <x v="94"/>
    <s v="GEN"/>
    <x v="97"/>
    <n v="0"/>
    <n v="0"/>
    <n v="0"/>
    <n v="0"/>
    <n v="0"/>
    <n v="0"/>
    <n v="0"/>
    <n v="0"/>
    <n v="0"/>
    <n v="0"/>
    <n v="0"/>
    <n v="0"/>
    <n v="0"/>
    <n v="0"/>
    <n v="0"/>
    <n v="0"/>
    <n v="0"/>
    <n v="0"/>
  </r>
  <r>
    <x v="8"/>
    <x v="95"/>
    <s v="GEN"/>
    <x v="98"/>
    <n v="0"/>
    <n v="0"/>
    <n v="0"/>
    <n v="0"/>
    <n v="0"/>
    <n v="0"/>
    <n v="0"/>
    <n v="0"/>
    <n v="0"/>
    <n v="0"/>
    <n v="0"/>
    <n v="0"/>
    <n v="0"/>
    <n v="0"/>
    <n v="0"/>
    <n v="0"/>
    <n v="0"/>
    <n v="0"/>
  </r>
  <r>
    <x v="9"/>
    <x v="96"/>
    <s v="GEN"/>
    <x v="99"/>
    <n v="0"/>
    <n v="0"/>
    <n v="0"/>
    <n v="0"/>
    <n v="0"/>
    <n v="0"/>
    <n v="0"/>
    <n v="0"/>
    <n v="0"/>
    <n v="0"/>
    <n v="0"/>
    <n v="0"/>
    <n v="0"/>
    <n v="0"/>
    <n v="0"/>
    <n v="0"/>
    <n v="0"/>
    <n v="0"/>
  </r>
  <r>
    <x v="9"/>
    <x v="97"/>
    <s v="GEN"/>
    <x v="100"/>
    <n v="0"/>
    <n v="0"/>
    <n v="0"/>
    <n v="0"/>
    <n v="0"/>
    <n v="0"/>
    <n v="0"/>
    <n v="0"/>
    <n v="0"/>
    <n v="0"/>
    <n v="0"/>
    <n v="0"/>
    <n v="0"/>
    <n v="0"/>
    <n v="0"/>
    <n v="0"/>
    <n v="0"/>
    <n v="0"/>
  </r>
  <r>
    <x v="0"/>
    <x v="0"/>
    <s v="GEN"/>
    <x v="0"/>
    <n v="102862.08202391199"/>
    <n v="-1573.65053782"/>
    <n v="2610.240000192"/>
    <n v="-101.083190214"/>
    <n v="2632.315824969"/>
    <n v="169.703048655"/>
    <n v="3744.2552009320002"/>
    <n v="0"/>
    <n v="0"/>
    <n v="0"/>
    <n v="0"/>
    <n v="0"/>
    <n v="9.2741075249999998"/>
    <n v="0"/>
    <n v="-9.0265122150000003"/>
    <n v="0"/>
    <n v="0"/>
    <n v="-1568.4857283480001"/>
  </r>
  <r>
    <x v="0"/>
    <x v="9"/>
    <s v="GEN"/>
    <x v="9"/>
    <n v="1198210.1813310599"/>
    <n v="101073.50128411299"/>
    <n v="23447.099999064001"/>
    <n v="-334.70932153199999"/>
    <n v="22758.702711827998"/>
    <n v="1317.686021403"/>
    <n v="-27805.614199349999"/>
    <n v="70355.022043899997"/>
    <n v="0"/>
    <n v="5672.6788108749997"/>
    <n v="21827.287921300001"/>
    <n v="-1584.886996937"/>
    <n v="-2867.4474403230001"/>
    <n v="2579.3942577749999"/>
    <n v="-120.792389516"/>
    <n v="0"/>
    <n v="0"/>
    <n v="5476.178615238"/>
  </r>
  <r>
    <x v="9"/>
    <x v="96"/>
    <s v="GEN"/>
    <x v="99"/>
    <n v="-2974.0333027800002"/>
    <n v="18121.718235052998"/>
    <n v="-32.899999907999998"/>
    <n v="-99.758036907999994"/>
    <n v="-117.111367943"/>
    <n v="124.11730175700001"/>
    <n v="289.934750479"/>
    <n v="955.30730770000002"/>
    <n v="0"/>
    <n v="10910.18184445"/>
    <n v="6921.0986695499996"/>
    <n v="-792.37194908399999"/>
    <n v="-5.9025348989999999"/>
    <n v="30.112480899000001"/>
    <n v="-7.1668016989999996"/>
    <n v="0"/>
    <n v="0"/>
    <n v="0"/>
  </r>
  <r>
    <x v="9"/>
    <x v="97"/>
    <s v="GEN"/>
    <x v="100"/>
    <n v="10715.917075134001"/>
    <n v="12718.686661243"/>
    <n v="136.669999776"/>
    <n v="-378.362342738"/>
    <n v="-413.62613723700002"/>
    <n v="546.40111931599995"/>
    <n v="-7946.7114717459999"/>
    <n v="0"/>
    <n v="0"/>
    <n v="7076.921654625"/>
    <n v="5805.042204075"/>
    <n v="-172.71801330900001"/>
    <n v="-241.60536816300001"/>
    <n v="297.99783994000001"/>
    <n v="-61.686044096000003"/>
    <n v="0"/>
    <n v="0"/>
    <n v="0"/>
  </r>
  <r>
    <x v="0"/>
    <x v="10"/>
    <s v="GEN"/>
    <x v="10"/>
    <n v="0"/>
    <n v="-71555.400571685997"/>
    <n v="0"/>
    <n v="0"/>
    <n v="0"/>
    <n v="0"/>
    <n v="0"/>
    <n v="0"/>
    <n v="0"/>
    <n v="0"/>
    <n v="0"/>
    <n v="0"/>
    <n v="0"/>
    <n v="0"/>
    <n v="0"/>
    <n v="0"/>
    <n v="0"/>
    <n v="-71555.400571685997"/>
  </r>
  <r>
    <x v="0"/>
    <x v="11"/>
    <s v="GEN"/>
    <x v="11"/>
    <n v="915418.09390440595"/>
    <n v="-20608.647872927999"/>
    <n v="23735.999999807998"/>
    <n v="-1.5518345710000001"/>
    <n v="23423.198982513"/>
    <n v="395.45265642099997"/>
    <n v="-13128.969932575999"/>
    <n v="0"/>
    <n v="0"/>
    <n v="0"/>
    <n v="0"/>
    <n v="0"/>
    <n v="-0.38957750099999999"/>
    <n v="0"/>
    <n v="-109.69119669299999"/>
    <n v="0"/>
    <n v="0"/>
    <n v="-20385.482839685999"/>
  </r>
  <r>
    <x v="0"/>
    <x v="12"/>
    <s v="GEN"/>
    <x v="12"/>
    <n v="831906.87958038202"/>
    <n v="84559.894477526002"/>
    <n v="19054.380000636"/>
    <n v="-1068.5186029040001"/>
    <n v="17913.378456143"/>
    <n v="319.53191419500001"/>
    <n v="-2865.3356042250002"/>
    <n v="49293.050858199997"/>
    <n v="1.8E-3"/>
    <n v="38165.212474325002"/>
    <n v="36893.652032575003"/>
    <n v="-3040.8289095330001"/>
    <n v="-1026.04838215"/>
    <n v="2016.100779051"/>
    <n v="-66.449940615000003"/>
    <n v="0"/>
    <n v="0"/>
    <n v="-37974.906796128002"/>
  </r>
  <r>
    <x v="0"/>
    <x v="13"/>
    <s v="GEN"/>
    <x v="13"/>
    <n v="641269.94649308198"/>
    <n v="67886.474066726005"/>
    <n v="13766.77000122"/>
    <n v="-705.03464897499998"/>
    <n v="12587.523351881"/>
    <n v="819.56002913999998"/>
    <n v="-21237.177334395001"/>
    <n v="84677.788354999997"/>
    <n v="0"/>
    <n v="29020.079286675002"/>
    <n v="19606.748342775001"/>
    <n v="-31004.239676265999"/>
    <n v="-1977.6279289839999"/>
    <n v="2996.6720131050001"/>
    <n v="-117.06643365399999"/>
    <n v="0"/>
    <n v="0"/>
    <n v="-35412.621767147997"/>
  </r>
  <r>
    <x v="0"/>
    <x v="14"/>
    <s v="GEN"/>
    <x v="14"/>
    <n v="163140.888730545"/>
    <n v="-1194.7517822360001"/>
    <n v="4397.0400008639999"/>
    <n v="-73.093712232000001"/>
    <n v="4189.0903999100001"/>
    <n v="397.174856906"/>
    <n v="-4621.8953215800002"/>
    <n v="0"/>
    <n v="0"/>
    <n v="0"/>
    <n v="0"/>
    <n v="0"/>
    <n v="3.3112089139999998"/>
    <n v="0"/>
    <n v="-77.087247284"/>
    <n v="0"/>
    <n v="0"/>
    <n v="-1039.7978641740001"/>
  </r>
  <r>
    <x v="0"/>
    <x v="15"/>
    <s v="GEN"/>
    <x v="15"/>
    <n v="13159.615354039999"/>
    <n v="-5.267709677"/>
    <n v="288.00000172799997"/>
    <n v="8.8152808329999992"/>
    <n v="324.43033991800002"/>
    <n v="44.697349187999997"/>
    <n v="839.65948705200003"/>
    <n v="0"/>
    <n v="0"/>
    <n v="0"/>
    <n v="0"/>
    <n v="0"/>
    <n v="-0.16781466"/>
    <n v="0"/>
    <n v="-2.5031139320000002"/>
    <n v="0"/>
    <n v="0"/>
    <n v="0"/>
  </r>
  <r>
    <x v="0"/>
    <x v="16"/>
    <s v="GEN"/>
    <x v="16"/>
    <n v="17336.787539698002"/>
    <n v="-0.138220853"/>
    <n v="588.719999616"/>
    <n v="-50.900416522999997"/>
    <n v="551.54143958999998"/>
    <n v="13.910235939"/>
    <n v="365.30982818899997"/>
    <n v="0"/>
    <n v="0"/>
    <n v="0"/>
    <n v="0"/>
    <n v="0"/>
    <n v="-7.4326159000000003E-2"/>
    <n v="0"/>
    <n v="-6.2874361000000004E-2"/>
    <n v="0"/>
    <n v="0"/>
    <n v="0"/>
  </r>
  <r>
    <x v="0"/>
    <x v="17"/>
    <s v="GEN"/>
    <x v="17"/>
    <n v="12780.097937312001"/>
    <n v="-221.83846625499999"/>
    <n v="604.76999990399997"/>
    <n v="0.35414166800000002"/>
    <n v="231.39048775200001"/>
    <n v="375.26080046700002"/>
    <n v="-11976.063974912"/>
    <n v="0"/>
    <n v="0"/>
    <n v="0"/>
    <n v="0"/>
    <n v="0"/>
    <n v="0"/>
    <n v="0"/>
    <n v="-61.204146813000001"/>
    <n v="0"/>
    <n v="0"/>
    <n v="0"/>
  </r>
  <r>
    <x v="0"/>
    <x v="18"/>
    <s v="GEN"/>
    <x v="18"/>
    <n v="80131.564760056994"/>
    <n v="-33.754066913999999"/>
    <n v="1926.240001632"/>
    <n v="63.501275090999997"/>
    <n v="1993.6466785810001"/>
    <n v="126.782607171"/>
    <n v="-112.867566004"/>
    <n v="0"/>
    <n v="0"/>
    <n v="0"/>
    <n v="0"/>
    <n v="0"/>
    <n v="1.555806765"/>
    <n v="0"/>
    <n v="-17.065791166"/>
    <n v="0"/>
    <n v="0"/>
    <n v="0"/>
  </r>
  <r>
    <x v="0"/>
    <x v="1"/>
    <s v="GEN"/>
    <x v="1"/>
    <n v="139801.41351126099"/>
    <n v="-2823.4346680190001"/>
    <n v="3553.7099997119999"/>
    <n v="7.8740041959999996"/>
    <n v="3591.6288763930002"/>
    <n v="128.37710759800001"/>
    <n v="604.26839994600005"/>
    <n v="0"/>
    <n v="0"/>
    <n v="0"/>
    <n v="0"/>
    <n v="0"/>
    <n v="0.51223239600000003"/>
    <n v="0"/>
    <n v="3.467871057"/>
    <n v="0"/>
    <n v="0"/>
    <n v="-2794.9417179359998"/>
  </r>
  <r>
    <x v="0"/>
    <x v="19"/>
    <s v="GEN"/>
    <x v="19"/>
    <n v="149402.342928014"/>
    <n v="-74.764735967999997"/>
    <n v="4038.2400015359999"/>
    <n v="-74.074662669000006"/>
    <n v="3904.6116626530002"/>
    <n v="254.32065817700001"/>
    <n v="-1930.4176816740001"/>
    <n v="0"/>
    <n v="0"/>
    <n v="0"/>
    <n v="0"/>
    <n v="0"/>
    <n v="17.500165979999998"/>
    <n v="0"/>
    <n v="-43.474481875000002"/>
    <n v="0"/>
    <n v="0"/>
    <n v="0"/>
  </r>
  <r>
    <x v="0"/>
    <x v="20"/>
    <s v="GEN"/>
    <x v="20"/>
    <n v="17625.916430359001"/>
    <n v="-15.100124936"/>
    <n v="488.159998272"/>
    <n v="-7.5421819110000001"/>
    <n v="459.931682787"/>
    <n v="32.030054210000003"/>
    <n v="-680.58525377199999"/>
    <n v="0"/>
    <n v="0"/>
    <n v="0"/>
    <n v="0"/>
    <n v="0"/>
    <n v="0.304341786"/>
    <n v="0"/>
    <n v="-6.6590740449999997"/>
    <n v="0"/>
    <n v="0"/>
    <n v="0"/>
  </r>
  <r>
    <x v="1"/>
    <x v="21"/>
    <s v="GEN"/>
    <x v="21"/>
    <n v="23934.820318534999"/>
    <n v="-1487.3930126610001"/>
    <n v="312.63999966"/>
    <n v="126.519166633"/>
    <n v="594.24118954200003"/>
    <n v="205.020712143"/>
    <n v="7944.7711157439999"/>
    <n v="0"/>
    <n v="0"/>
    <n v="0"/>
    <n v="0"/>
    <n v="0"/>
    <n v="0"/>
    <n v="0"/>
    <n v="-9.9908055820000001"/>
    <n v="0"/>
    <n v="0"/>
    <n v="-1473.835724562"/>
  </r>
  <r>
    <x v="1"/>
    <x v="22"/>
    <s v="GEN"/>
    <x v="22"/>
    <n v="490252.30956645001"/>
    <n v="52351.187309296998"/>
    <n v="10987.580000051999"/>
    <n v="-324.35535932400001"/>
    <n v="10601.51247206"/>
    <n v="978.54867368199996"/>
    <n v="-6205.9547360850001"/>
    <n v="108647.30378640001"/>
    <n v="0"/>
    <n v="0"/>
    <n v="0"/>
    <n v="-25827.911950352998"/>
    <n v="-600.24566654700004"/>
    <n v="613.283478059"/>
    <n v="-126.699022254"/>
    <n v="0"/>
    <n v="0"/>
    <n v="-30147.3773592"/>
  </r>
  <r>
    <x v="1"/>
    <x v="23"/>
    <s v="GEN"/>
    <x v="23"/>
    <n v="115040.220606121"/>
    <n v="-8223.9285905420002"/>
    <n v="1834.0000000560001"/>
    <n v="-323.39104314899998"/>
    <n v="1472.9705009710001"/>
    <n v="389.60937497100002"/>
    <n v="-791.849429966"/>
    <n v="0"/>
    <n v="0"/>
    <n v="0"/>
    <n v="0"/>
    <n v="0"/>
    <n v="236.901285027"/>
    <n v="0"/>
    <n v="-77.924251995999995"/>
    <n v="0"/>
    <n v="0"/>
    <n v="-8326.7416214759996"/>
  </r>
  <r>
    <x v="1"/>
    <x v="24"/>
    <s v="GEN"/>
    <x v="24"/>
    <n v="445982.272772661"/>
    <n v="-7819.3338722589997"/>
    <n v="9248.4999991080003"/>
    <n v="121.498195653"/>
    <n v="9418.4053799520007"/>
    <n v="814.56913615099995"/>
    <n v="-1239.9025866740001"/>
    <n v="0"/>
    <n v="0"/>
    <n v="0"/>
    <n v="0"/>
    <n v="0"/>
    <n v="-537.78249882"/>
    <n v="0"/>
    <n v="-38.291816804"/>
    <n v="0"/>
    <n v="0"/>
    <n v="-7031.1429133920001"/>
  </r>
  <r>
    <x v="1"/>
    <x v="25"/>
    <s v="GEN"/>
    <x v="25"/>
    <n v="2550286.8541328101"/>
    <n v="-29412.593619055999"/>
    <n v="63045.399999816"/>
    <n v="-116.66145876900001"/>
    <n v="62971.899986933"/>
    <n v="1083.9683026360001"/>
    <n v="-2832.9250350259999"/>
    <n v="0"/>
    <n v="0"/>
    <n v="0"/>
    <n v="0"/>
    <n v="0"/>
    <n v="-2108.2391589469999"/>
    <n v="0"/>
    <n v="-180.61224175000001"/>
    <n v="0"/>
    <n v="0"/>
    <n v="-26984.084203181999"/>
  </r>
  <r>
    <x v="1"/>
    <x v="26"/>
    <s v="GEN"/>
    <x v="26"/>
    <n v="-144.60451764699999"/>
    <n v="-2.3078830410000002"/>
    <n v="0"/>
    <n v="0"/>
    <n v="-3.8982000000000001"/>
    <n v="3.8982000000000001"/>
    <n v="-144.60451764699999"/>
    <n v="0"/>
    <n v="0"/>
    <n v="0"/>
    <n v="0"/>
    <n v="0"/>
    <n v="0"/>
    <n v="0"/>
    <n v="-0.90519848700000005"/>
    <n v="0"/>
    <n v="0"/>
    <n v="0"/>
  </r>
  <r>
    <x v="1"/>
    <x v="27"/>
    <s v="GEN"/>
    <x v="27"/>
    <n v="2039195.27254295"/>
    <n v="-21326.424666628001"/>
    <n v="49695.500000220003"/>
    <n v="-205.516547245"/>
    <n v="49424.590026414997"/>
    <n v="896.20514729399997"/>
    <n v="-6132.3575825859998"/>
    <n v="0"/>
    <n v="0"/>
    <n v="0"/>
    <n v="0"/>
    <n v="0"/>
    <n v="-1165.71078893"/>
    <n v="0"/>
    <n v="-48.630081013000002"/>
    <n v="0"/>
    <n v="0"/>
    <n v="-19875.779013089999"/>
  </r>
  <r>
    <x v="1"/>
    <x v="28"/>
    <s v="GEN"/>
    <x v="28"/>
    <n v="0"/>
    <n v="0"/>
    <n v="0"/>
    <n v="0"/>
    <n v="0"/>
    <n v="0"/>
    <n v="0"/>
    <n v="0"/>
    <n v="0"/>
    <n v="0"/>
    <n v="0"/>
    <n v="0"/>
    <n v="0"/>
    <n v="0"/>
    <n v="0"/>
    <n v="0"/>
    <n v="0"/>
    <n v="0"/>
  </r>
  <r>
    <x v="0"/>
    <x v="2"/>
    <s v="GEN"/>
    <x v="2"/>
    <n v="687309.89238657698"/>
    <n v="-5279.1615364930003"/>
    <n v="15890.600000484001"/>
    <n v="-92.202678675000001"/>
    <n v="16006.158980816999"/>
    <n v="336.39386880799998"/>
    <n v="11243.356050861001"/>
    <n v="0"/>
    <n v="0"/>
    <n v="0"/>
    <n v="0"/>
    <n v="0"/>
    <n v="-379.09391417400002"/>
    <n v="0"/>
    <n v="-31.849491045000001"/>
    <n v="0"/>
    <n v="0"/>
    <n v="-4859.6009152979996"/>
  </r>
  <r>
    <x v="1"/>
    <x v="29"/>
    <s v="GEN"/>
    <x v="29"/>
    <n v="0"/>
    <n v="0"/>
    <n v="0"/>
    <n v="0"/>
    <n v="0"/>
    <n v="0"/>
    <n v="0"/>
    <n v="0"/>
    <n v="0"/>
    <n v="0"/>
    <n v="0"/>
    <n v="0"/>
    <n v="0"/>
    <n v="0"/>
    <n v="0"/>
    <n v="0"/>
    <n v="0"/>
    <n v="0"/>
  </r>
  <r>
    <x v="1"/>
    <x v="30"/>
    <s v="GEN"/>
    <x v="30"/>
    <n v="654972.02753050602"/>
    <n v="54395.324390884001"/>
    <n v="10725.469999512001"/>
    <n v="-381.08048157500002"/>
    <n v="10157.152339622"/>
    <n v="633.20122577200004"/>
    <n v="-9003.5070470610008"/>
    <n v="37344.051082099999"/>
    <n v="1.36"/>
    <n v="2220.5509084999999"/>
    <n v="14496.419714600001"/>
    <n v="-6416.4676926399998"/>
    <n v="952.40317114599998"/>
    <n v="6001.6337582550004"/>
    <n v="-148.94228927200001"/>
    <n v="0"/>
    <n v="0"/>
    <n v="0"/>
  </r>
  <r>
    <x v="1"/>
    <x v="31"/>
    <s v="GEN"/>
    <x v="31"/>
    <n v="907991.46013022296"/>
    <n v="-9066.7329672119995"/>
    <n v="21726.500001492001"/>
    <n v="-433.26306896"/>
    <n v="21246.344391815001"/>
    <n v="366.76106441000002"/>
    <n v="-4369.688655125"/>
    <n v="0"/>
    <n v="0"/>
    <n v="0"/>
    <n v="0"/>
    <n v="0"/>
    <n v="-390.32372277000002"/>
    <n v="0"/>
    <n v="-45.460271149999997"/>
    <n v="0"/>
    <n v="0"/>
    <n v="-8560.3263688259995"/>
  </r>
  <r>
    <x v="1"/>
    <x v="32"/>
    <s v="GEN"/>
    <x v="32"/>
    <n v="802360.34280026902"/>
    <n v="-9784.4952164349997"/>
    <n v="17539.500001008"/>
    <n v="-429.53896329200001"/>
    <n v="16892.709106742001"/>
    <n v="681.03643219399999"/>
    <n v="-12082.893471261999"/>
    <n v="0"/>
    <n v="0"/>
    <n v="0"/>
    <n v="0"/>
    <n v="0"/>
    <n v="-997.68198527699997"/>
    <n v="0"/>
    <n v="-145.29997951000001"/>
    <n v="0"/>
    <n v="0"/>
    <n v="-8525.7115008660003"/>
  </r>
  <r>
    <x v="1"/>
    <x v="33"/>
    <s v="GEN"/>
    <x v="33"/>
    <n v="921965.52842598595"/>
    <n v="-11380.814637408001"/>
    <n v="21857.000001516"/>
    <n v="-106.98082013699999"/>
    <n v="21402.650881004"/>
    <n v="707.45388467700002"/>
    <n v="-14691.453713514"/>
    <n v="0"/>
    <n v="0"/>
    <n v="0"/>
    <n v="0"/>
    <n v="0"/>
    <n v="-619.130166175"/>
    <n v="0"/>
    <n v="-181.12829314699999"/>
    <n v="0"/>
    <n v="0"/>
    <n v="-10450.261522319999"/>
  </r>
  <r>
    <x v="1"/>
    <x v="34"/>
    <s v="GEN"/>
    <x v="34"/>
    <n v="29879.050869581999"/>
    <n v="-167.77616050099999"/>
    <n v="1042.77999948"/>
    <n v="-138.19798857800001"/>
    <n v="642.69973660100004"/>
    <n v="302.88651224699998"/>
    <n v="-15128.467783571999"/>
    <n v="0"/>
    <n v="0"/>
    <n v="0"/>
    <n v="0"/>
    <n v="0"/>
    <n v="-7.5927963000000001E-2"/>
    <n v="0"/>
    <n v="-8.0136645360000003"/>
    <n v="0"/>
    <n v="0"/>
    <n v="0"/>
  </r>
  <r>
    <x v="1"/>
    <x v="35"/>
    <s v="GEN"/>
    <x v="35"/>
    <n v="-132.66696414800001"/>
    <n v="-2.1324844619999999"/>
    <n v="0"/>
    <n v="0"/>
    <n v="-3.6272250000000001"/>
    <n v="3.6272250000000001"/>
    <n v="-132.66696414800001"/>
    <n v="0"/>
    <n v="0"/>
    <n v="0"/>
    <n v="0"/>
    <n v="0"/>
    <n v="0"/>
    <n v="0"/>
    <n v="-0.78173357899999996"/>
    <n v="0"/>
    <n v="0"/>
    <n v="0"/>
  </r>
  <r>
    <x v="1"/>
    <x v="36"/>
    <s v="GEN"/>
    <x v="36"/>
    <n v="0"/>
    <n v="0"/>
    <n v="0"/>
    <n v="0"/>
    <n v="0"/>
    <n v="0"/>
    <n v="0"/>
    <n v="0"/>
    <n v="0"/>
    <n v="0"/>
    <n v="0"/>
    <n v="0"/>
    <n v="0"/>
    <n v="0"/>
    <n v="0"/>
    <n v="0"/>
    <n v="0"/>
    <n v="0"/>
  </r>
  <r>
    <x v="1"/>
    <x v="38"/>
    <s v="GEN"/>
    <x v="38"/>
    <n v="22158.14985437"/>
    <n v="-14.993116797000001"/>
    <n v="540.11999932799995"/>
    <n v="-10.792791539"/>
    <n v="563.43419458699998"/>
    <n v="84.727161142"/>
    <n v="1004.706550333"/>
    <n v="0"/>
    <n v="0"/>
    <n v="0"/>
    <n v="0"/>
    <n v="0"/>
    <n v="0.181564908"/>
    <n v="0"/>
    <n v="-9.9654512349999997"/>
    <n v="0"/>
    <n v="0"/>
    <n v="0"/>
  </r>
  <r>
    <x v="0"/>
    <x v="3"/>
    <s v="GEN"/>
    <x v="3"/>
    <n v="5157.1031509439999"/>
    <n v="-0.34209301399999997"/>
    <n v="190.20000002399999"/>
    <n v="-0.17874999799999999"/>
    <n v="197.86758541699999"/>
    <n v="9.5692430510000008"/>
    <n v="187.56308663300001"/>
    <n v="0"/>
    <n v="0"/>
    <n v="0"/>
    <n v="0"/>
    <n v="0"/>
    <n v="0"/>
    <n v="0"/>
    <n v="-0.34208871200000002"/>
    <n v="0"/>
    <n v="0"/>
    <n v="0"/>
  </r>
  <r>
    <x v="2"/>
    <x v="39"/>
    <s v="GEN"/>
    <x v="39"/>
    <n v="-544.49091832099998"/>
    <n v="-8.8055647459999999"/>
    <n v="0"/>
    <n v="0"/>
    <n v="-14.72875"/>
    <n v="14.72875"/>
    <n v="-544.49091832099998"/>
    <n v="0"/>
    <n v="0"/>
    <n v="0"/>
    <n v="0"/>
    <n v="0"/>
    <n v="0"/>
    <n v="0"/>
    <n v="-3.671978915"/>
    <n v="0"/>
    <n v="0"/>
    <n v="0"/>
  </r>
  <r>
    <x v="2"/>
    <x v="40"/>
    <s v="GEN"/>
    <x v="40"/>
    <n v="77763.155476658998"/>
    <n v="-111.550908932"/>
    <n v="1958.200000068"/>
    <n v="147.115666683"/>
    <n v="2033.7138804409999"/>
    <n v="309.73733875400001"/>
    <n v="-3259.3898497579999"/>
    <n v="0"/>
    <n v="0"/>
    <n v="0"/>
    <n v="0"/>
    <n v="0"/>
    <n v="0.98152724999999996"/>
    <n v="0"/>
    <n v="-57.160760355000001"/>
    <n v="0"/>
    <n v="0"/>
    <n v="0"/>
  </r>
  <r>
    <x v="2"/>
    <x v="41"/>
    <s v="GEN"/>
    <x v="41"/>
    <n v="141675.16323250101"/>
    <n v="-43.487972800999998"/>
    <n v="3489.4400016"/>
    <n v="12.863209796"/>
    <n v="3593.9060440080002"/>
    <n v="270.55644866599999"/>
    <n v="4975.7781990940002"/>
    <n v="0"/>
    <n v="0"/>
    <n v="0"/>
    <n v="0"/>
    <n v="0"/>
    <n v="-0.87554843900000001"/>
    <n v="0"/>
    <n v="3.1357292750000001"/>
    <n v="0"/>
    <n v="0"/>
    <n v="0"/>
  </r>
  <r>
    <x v="2"/>
    <x v="42"/>
    <s v="GEN"/>
    <x v="42"/>
    <n v="77586.132577889002"/>
    <n v="-870.86991743399994"/>
    <n v="2309.7600011519999"/>
    <n v="-78.545774953999995"/>
    <n v="2039.9929044339999"/>
    <n v="405.12632367600003"/>
    <n v="-6346.8193912300003"/>
    <n v="0"/>
    <n v="0"/>
    <n v="0"/>
    <n v="0"/>
    <n v="0"/>
    <n v="0.456844847"/>
    <n v="0"/>
    <n v="-87.480631162999998"/>
    <n v="0"/>
    <n v="0"/>
    <n v="-693.19857485399996"/>
  </r>
  <r>
    <x v="2"/>
    <x v="43"/>
    <s v="GEN"/>
    <x v="43"/>
    <n v="277999.23639626498"/>
    <n v="-14155.977646064001"/>
    <n v="4972.4999991960003"/>
    <n v="-107.354384504"/>
    <n v="4929.7464362580004"/>
    <n v="412.100552397"/>
    <n v="8704.1854272210003"/>
    <n v="0"/>
    <n v="0"/>
    <n v="0"/>
    <n v="0"/>
    <n v="0"/>
    <n v="-424.90618164599999"/>
    <n v="0"/>
    <n v="-28.810531317999999"/>
    <n v="0"/>
    <n v="0"/>
    <n v="-13645.387275474"/>
  </r>
  <r>
    <x v="2"/>
    <x v="44"/>
    <s v="GEN"/>
    <x v="44"/>
    <n v="315339.70209113898"/>
    <n v="-14728.248426439999"/>
    <n v="5736.1999993079999"/>
    <n v="43.126745122999999"/>
    <n v="5676.4897773169996"/>
    <n v="579.59430844999997"/>
    <n v="-39.939572998999999"/>
    <n v="0"/>
    <n v="0"/>
    <n v="0"/>
    <n v="0"/>
    <n v="0"/>
    <n v="-126.77185994200001"/>
    <n v="0"/>
    <n v="-54.033761918000003"/>
    <n v="0"/>
    <n v="0"/>
    <n v="-14408.434400376"/>
  </r>
  <r>
    <x v="2"/>
    <x v="45"/>
    <s v="GEN"/>
    <x v="45"/>
    <n v="495788.49083078699"/>
    <n v="-21028.9185693"/>
    <n v="9324.1000006680006"/>
    <n v="-258.04694644599999"/>
    <n v="9350.7985919900002"/>
    <n v="536.63804070100002"/>
    <n v="11960.870299833001"/>
    <n v="0"/>
    <n v="0"/>
    <n v="0"/>
    <n v="0"/>
    <n v="0"/>
    <n v="-602.45636871500005"/>
    <n v="0"/>
    <n v="-69.506337325000004"/>
    <n v="0"/>
    <n v="0"/>
    <n v="-20344.251463476001"/>
  </r>
  <r>
    <x v="2"/>
    <x v="46"/>
    <s v="GEN"/>
    <x v="46"/>
    <n v="23511.818914602001"/>
    <n v="-5.2054637340000003"/>
    <n v="469.49999939999998"/>
    <n v="25.498229268999999"/>
    <n v="564.25422856399996"/>
    <n v="82.970400326999993"/>
    <n v="2607.0040710540002"/>
    <n v="0"/>
    <n v="0"/>
    <n v="0"/>
    <n v="0"/>
    <n v="0"/>
    <n v="-1.077587595"/>
    <n v="0"/>
    <n v="-1.690687217"/>
    <n v="0"/>
    <n v="0"/>
    <n v="0"/>
  </r>
  <r>
    <x v="2"/>
    <x v="47"/>
    <s v="GEN"/>
    <x v="47"/>
    <n v="297953.59799522301"/>
    <n v="-408.23800769899998"/>
    <n v="5719.3999990920001"/>
    <n v="-48.961879080000003"/>
    <n v="5267.9024554970001"/>
    <n v="783.50811138899996"/>
    <n v="-11231.291731101001"/>
    <n v="0"/>
    <n v="0"/>
    <n v="0"/>
    <n v="0"/>
    <n v="0"/>
    <n v="-64.565266445999995"/>
    <n v="0"/>
    <n v="-258.86964780800002"/>
    <n v="0"/>
    <n v="0"/>
    <n v="0"/>
  </r>
  <r>
    <x v="2"/>
    <x v="48"/>
    <s v="GEN"/>
    <x v="48"/>
    <n v="44870.449339245002"/>
    <n v="-1254.3625554759999"/>
    <n v="1376.88"/>
    <n v="-58.024271083999999"/>
    <n v="1327.256679354"/>
    <n v="83.133585608000004"/>
    <n v="-65.572241133000006"/>
    <n v="0"/>
    <n v="0"/>
    <n v="0"/>
    <n v="0"/>
    <n v="0"/>
    <n v="-0.24358743599999999"/>
    <n v="0"/>
    <n v="-6.5571281849999998"/>
    <n v="0"/>
    <n v="0"/>
    <n v="-1233.1542943679999"/>
  </r>
  <r>
    <x v="0"/>
    <x v="4"/>
    <s v="GEN"/>
    <x v="4"/>
    <n v="973064.17669774604"/>
    <n v="-23246.735128845001"/>
    <n v="24373.999999404001"/>
    <n v="391.05207705700002"/>
    <n v="24871.031245192"/>
    <n v="420.12334783900002"/>
    <n v="4150.0681106769998"/>
    <n v="0"/>
    <n v="0"/>
    <n v="0"/>
    <n v="0"/>
    <n v="0"/>
    <n v="-29.559649391000001"/>
    <n v="0"/>
    <n v="-49.392171701999999"/>
    <n v="0"/>
    <n v="0"/>
    <n v="-23126.150142605999"/>
  </r>
  <r>
    <x v="2"/>
    <x v="49"/>
    <s v="GEN"/>
    <x v="49"/>
    <n v="85877.218053168006"/>
    <n v="-66.203545653000006"/>
    <n v="2452.5500000520001"/>
    <n v="21.615000383000002"/>
    <n v="2497.231053905"/>
    <n v="245.148445455"/>
    <n v="-593.31288241499999"/>
    <n v="0"/>
    <n v="0"/>
    <n v="0"/>
    <n v="0"/>
    <n v="0"/>
    <n v="-1.551151811"/>
    <n v="0"/>
    <n v="-28.06857029"/>
    <n v="0"/>
    <n v="0"/>
    <n v="0"/>
  </r>
  <r>
    <x v="2"/>
    <x v="50"/>
    <s v="GEN"/>
    <x v="50"/>
    <n v="-118.547722804"/>
    <n v="-1.787959458"/>
    <n v="0"/>
    <n v="0"/>
    <n v="-3.1067840000000002"/>
    <n v="3.1067840000000002"/>
    <n v="-118.547722804"/>
    <n v="0"/>
    <n v="0"/>
    <n v="0"/>
    <n v="0"/>
    <n v="0"/>
    <n v="0"/>
    <n v="0"/>
    <n v="-0.57197415600000001"/>
    <n v="0"/>
    <n v="0"/>
    <n v="0"/>
  </r>
  <r>
    <x v="2"/>
    <x v="51"/>
    <s v="GEN"/>
    <x v="51"/>
    <n v="-1107.3930676320001"/>
    <n v="-17.116996861000001"/>
    <n v="0"/>
    <n v="0"/>
    <n v="-28.827788055999999"/>
    <n v="28.827788055999999"/>
    <n v="-1107.3930676320001"/>
    <n v="0"/>
    <n v="0"/>
    <n v="0"/>
    <n v="0"/>
    <n v="0"/>
    <n v="0"/>
    <n v="0"/>
    <n v="-7.2203964239999996"/>
    <n v="0"/>
    <n v="0"/>
    <n v="0"/>
  </r>
  <r>
    <x v="2"/>
    <x v="52"/>
    <s v="GEN"/>
    <x v="52"/>
    <n v="71272.615506602"/>
    <n v="-106.74963294600001"/>
    <n v="2323.5900000840002"/>
    <n v="-211.53314723899999"/>
    <n v="2079.4186022459999"/>
    <n v="534.09374771299997"/>
    <n v="-4670.0790238990003"/>
    <n v="0"/>
    <n v="0"/>
    <n v="0"/>
    <n v="0"/>
    <n v="0"/>
    <n v="58.482387932999998"/>
    <n v="0"/>
    <n v="-86.447382446000006"/>
    <n v="0"/>
    <n v="0"/>
    <n v="0"/>
  </r>
  <r>
    <x v="2"/>
    <x v="53"/>
    <s v="GEN"/>
    <x v="53"/>
    <n v="124913.90209869501"/>
    <n v="-17076.073353350999"/>
    <n v="3251.940002544"/>
    <n v="-175.46446234800001"/>
    <n v="3107.0899957689999"/>
    <n v="188.642116703"/>
    <n v="974.94148338000002"/>
    <n v="0"/>
    <n v="0"/>
    <n v="0"/>
    <n v="0"/>
    <n v="0"/>
    <n v="-2.0038500000000002E-3"/>
    <n v="0"/>
    <n v="-25.724696778999999"/>
    <n v="0"/>
    <n v="0"/>
    <n v="-17027.641500180001"/>
  </r>
  <r>
    <x v="2"/>
    <x v="54"/>
    <s v="GEN"/>
    <x v="54"/>
    <n v="586151.381275967"/>
    <n v="-4255.3246507100002"/>
    <n v="10856.600000820001"/>
    <n v="1580.4179756000001"/>
    <n v="12494.816187531"/>
    <n v="340.46438016399998"/>
    <n v="405.70616365000001"/>
    <n v="0"/>
    <n v="0"/>
    <n v="0"/>
    <n v="0"/>
    <n v="0"/>
    <n v="-40.917471188999997"/>
    <n v="0"/>
    <n v="-40.769437646999997"/>
    <n v="0"/>
    <n v="0"/>
    <n v="-4135.5355291919996"/>
  </r>
  <r>
    <x v="2"/>
    <x v="55"/>
    <s v="GEN"/>
    <x v="55"/>
    <n v="352021.02307768498"/>
    <n v="-1611.966387358"/>
    <n v="7551.9700022039997"/>
    <n v="-23.439519465"/>
    <n v="7534.3531359409999"/>
    <n v="144.467156512"/>
    <n v="-410.09059405699998"/>
    <n v="0"/>
    <n v="0"/>
    <n v="0"/>
    <n v="0"/>
    <n v="0"/>
    <n v="-204.08854281500001"/>
    <n v="0"/>
    <n v="-20.292198192000001"/>
    <n v="0"/>
    <n v="0"/>
    <n v="-1367.8151058240001"/>
  </r>
  <r>
    <x v="2"/>
    <x v="56"/>
    <s v="GEN"/>
    <x v="56"/>
    <n v="1596016.1096417999"/>
    <n v="-26894.038483122"/>
    <n v="30010.400000411999"/>
    <n v="-1375.667024678"/>
    <n v="29097.090046714999"/>
    <n v="1500.7145837969999"/>
    <n v="27096.013673369998"/>
    <n v="0"/>
    <n v="0"/>
    <n v="0"/>
    <n v="0"/>
    <n v="0"/>
    <n v="-3833.2931674689999"/>
    <n v="791.322181419"/>
    <n v="-202.08700257800001"/>
    <n v="0"/>
    <n v="0"/>
    <n v="-23549.509779294"/>
  </r>
  <r>
    <x v="2"/>
    <x v="57"/>
    <s v="GEN"/>
    <x v="57"/>
    <n v="21577.932378722999"/>
    <n v="-2578.2545618250001"/>
    <n v="809.68000004400005"/>
    <n v="-62.198854214000001"/>
    <n v="743.89626547800003"/>
    <n v="59.059393237999998"/>
    <n v="-2305.3433474160001"/>
    <n v="0"/>
    <n v="0"/>
    <n v="0"/>
    <n v="0"/>
    <n v="0"/>
    <n v="-2.184299357"/>
    <n v="0"/>
    <n v="2.968555775"/>
    <n v="0"/>
    <n v="0"/>
    <n v="-2555.5500189300001"/>
  </r>
  <r>
    <x v="2"/>
    <x v="58"/>
    <s v="GEN"/>
    <x v="58"/>
    <n v="1101300.72874383"/>
    <n v="-12909.405114835999"/>
    <n v="29770.910001635999"/>
    <n v="-1610.1628658510001"/>
    <n v="28170.653999999999"/>
    <n v="519.52253752900003"/>
    <n v="-3887.5099744200002"/>
    <n v="2856.7053592500001"/>
    <n v="8.6253750000000004E-2"/>
    <n v="20126.086255800001"/>
    <n v="18846.521808649999"/>
    <n v="-3246.4135683929999"/>
    <n v="-2330.0819348280002"/>
    <n v="2429.149343478"/>
    <n v="-13.761600098000001"/>
    <n v="0"/>
    <n v="0"/>
    <n v="-52023.125331023999"/>
  </r>
  <r>
    <x v="0"/>
    <x v="5"/>
    <s v="GEN"/>
    <x v="5"/>
    <n v="1214202.40925716"/>
    <n v="-28195.098967389"/>
    <n v="30613.500000576001"/>
    <n v="295.390105753"/>
    <n v="30829.606681067999"/>
    <n v="410.18517385899997"/>
    <n v="-4056.006091145"/>
    <n v="0"/>
    <n v="0"/>
    <n v="0"/>
    <n v="0"/>
    <n v="0"/>
    <n v="-29.852937497999999"/>
    <n v="0"/>
    <n v="-79.135728455999995"/>
    <n v="0"/>
    <n v="0"/>
    <n v="-28010.721159011999"/>
  </r>
  <r>
    <x v="2"/>
    <x v="59"/>
    <s v="GEN"/>
    <x v="59"/>
    <n v="9917.303509333"/>
    <n v="-13.929261460999999"/>
    <n v="168.3"/>
    <n v="33.356333544000002"/>
    <n v="242.05750530899999"/>
    <n v="84.431725835999998"/>
    <n v="2275.3024725969999"/>
    <n v="0"/>
    <n v="0"/>
    <n v="0"/>
    <n v="0"/>
    <n v="0"/>
    <n v="-0.339504741"/>
    <n v="0"/>
    <n v="-0.326876218"/>
    <n v="0"/>
    <n v="0"/>
    <n v="0"/>
  </r>
  <r>
    <x v="3"/>
    <x v="61"/>
    <s v="GEN"/>
    <x v="61"/>
    <n v="2238246.4006420001"/>
    <n v="143093.008377527"/>
    <n v="37668.950002536003"/>
    <n v="1635.8570803069999"/>
    <n v="39021.113666158002"/>
    <n v="1543.5543989170001"/>
    <n v="-17574.002506312001"/>
    <n v="80745.430366600005"/>
    <n v="78091.569774999996"/>
    <n v="0"/>
    <n v="0"/>
    <n v="-753.89200145699999"/>
    <n v="-4922.5775418220001"/>
    <n v="29378.584643624999"/>
    <n v="-348.534840809"/>
    <n v="0"/>
    <n v="0"/>
    <n v="-38861.983012224002"/>
  </r>
  <r>
    <x v="3"/>
    <x v="62"/>
    <s v="GEN"/>
    <x v="62"/>
    <n v="462733.05274121597"/>
    <n v="24473.416033075999"/>
    <n v="7562.329997844"/>
    <n v="587.75140217700005"/>
    <n v="7979.2367383950004"/>
    <n v="731.707186933"/>
    <n v="-17352.952651621999"/>
    <n v="41349.004814699998"/>
    <n v="0"/>
    <n v="0"/>
    <n v="0"/>
    <n v="-405.04876892200002"/>
    <n v="-1788.570661359"/>
    <n v="8488.4198113359998"/>
    <n v="-18.879856806999999"/>
    <n v="0"/>
    <n v="0"/>
    <n v="-22875.553026972"/>
  </r>
  <r>
    <x v="3"/>
    <x v="63"/>
    <s v="GEN"/>
    <x v="63"/>
    <n v="922205.78561723605"/>
    <n v="5610.5279154549999"/>
    <n v="17223.650002091999"/>
    <n v="-75.439788608000001"/>
    <n v="17220.016257301999"/>
    <n v="944.59208270299996"/>
    <n v="3353.4657897249999"/>
    <n v="39307.490323799997"/>
    <n v="7236.6191399999998"/>
    <n v="0"/>
    <n v="0"/>
    <n v="-1681.101889218"/>
    <n v="-1883.929076007"/>
    <n v="1190.578695382"/>
    <n v="-112.946249796"/>
    <n v="0"/>
    <n v="0"/>
    <n v="-38285.925382385998"/>
  </r>
  <r>
    <x v="3"/>
    <x v="64"/>
    <s v="GEN"/>
    <x v="64"/>
    <n v="954037.76577792305"/>
    <n v="-2580.120027127"/>
    <n v="18686.130001752001"/>
    <n v="150.23419574799999"/>
    <n v="18562.354772819999"/>
    <n v="1168.1773651569999"/>
    <n v="-14887.269292309"/>
    <n v="33951.926699099997"/>
    <n v="5697.0459149999997"/>
    <n v="0"/>
    <n v="0"/>
    <n v="-1202.6068652900001"/>
    <n v="-1525.2765904410001"/>
    <n v="1195.8100267530001"/>
    <n v="-86.072307511000005"/>
    <n v="0"/>
    <n v="0"/>
    <n v="-40235.153131097999"/>
  </r>
  <r>
    <x v="3"/>
    <x v="65"/>
    <s v="GEN"/>
    <x v="65"/>
    <n v="729708.73410693905"/>
    <n v="33299.660911437997"/>
    <n v="12096.699997055999"/>
    <n v="1156.908882937"/>
    <n v="12272.404493975"/>
    <n v="1605.232017"/>
    <n v="-33566.303276589002"/>
    <n v="71625.704397449997"/>
    <n v="0"/>
    <n v="0"/>
    <n v="0"/>
    <n v="-3365.3015113340002"/>
    <n v="-3049.246912611"/>
    <n v="2900.8838378109999"/>
    <n v="-484.00092160499997"/>
    <n v="0"/>
    <n v="0"/>
    <n v="-34044.072866376002"/>
  </r>
  <r>
    <x v="3"/>
    <x v="66"/>
    <s v="GEN"/>
    <x v="66"/>
    <n v="17696.620981181"/>
    <n v="-15.905039052999999"/>
    <n v="291.02000109599999"/>
    <n v="12.395000052"/>
    <n v="372.99548622399999"/>
    <n v="109.57993455099999"/>
    <n v="3113.2975469530002"/>
    <n v="0"/>
    <n v="0"/>
    <n v="0"/>
    <n v="0"/>
    <n v="0"/>
    <n v="-3.9084323570000001"/>
    <n v="0"/>
    <n v="-4.5835039709999998"/>
    <n v="0"/>
    <n v="0"/>
    <n v="0"/>
  </r>
  <r>
    <x v="3"/>
    <x v="67"/>
    <s v="GEN"/>
    <x v="67"/>
    <n v="99284.501169840994"/>
    <n v="-103.23572452499999"/>
    <n v="2051.7600003839998"/>
    <n v="76.864801385999996"/>
    <n v="2261.2568263479998"/>
    <n v="465.94509182600001"/>
    <n v="3093.1701866459998"/>
    <n v="0"/>
    <n v="0"/>
    <n v="0"/>
    <n v="0"/>
    <n v="0"/>
    <n v="3.4613448139999998"/>
    <n v="0"/>
    <n v="-47.461130031000003"/>
    <n v="0"/>
    <n v="0"/>
    <n v="0"/>
  </r>
  <r>
    <x v="3"/>
    <x v="68"/>
    <s v="GEN"/>
    <x v="68"/>
    <n v="48822.208027310997"/>
    <n v="-3.3229705329999999"/>
    <n v="307.19999923199998"/>
    <n v="61.829166772000001"/>
    <n v="1151.8394782319999"/>
    <n v="790.68299520599999"/>
    <n v="35506.984067956"/>
    <n v="0"/>
    <n v="0"/>
    <n v="0"/>
    <n v="0"/>
    <n v="0"/>
    <n v="-0.77946241299999997"/>
    <n v="0"/>
    <n v="0.14252858199999999"/>
    <n v="0"/>
    <n v="0"/>
    <n v="0"/>
  </r>
  <r>
    <x v="0"/>
    <x v="6"/>
    <s v="GEN"/>
    <x v="6"/>
    <n v="729226.19246260298"/>
    <n v="-224.847193519"/>
    <n v="18063.499999356001"/>
    <n v="1719.2607082479999"/>
    <n v="20128.349421908999"/>
    <n v="1128.2709475920001"/>
    <n v="16843.201433030001"/>
    <n v="0"/>
    <n v="0"/>
    <n v="0"/>
    <n v="0"/>
    <n v="0"/>
    <n v="5.8307800170000004"/>
    <n v="0"/>
    <n v="-93.455887008999994"/>
    <n v="0"/>
    <n v="0"/>
    <n v="0"/>
  </r>
  <r>
    <x v="3"/>
    <x v="69"/>
    <s v="GEN"/>
    <x v="69"/>
    <n v="0"/>
    <n v="0"/>
    <n v="0"/>
    <n v="0"/>
    <n v="0"/>
    <n v="0"/>
    <n v="0"/>
    <n v="0"/>
    <n v="0"/>
    <n v="0"/>
    <n v="0"/>
    <n v="0"/>
    <n v="0"/>
    <n v="0"/>
    <n v="0"/>
    <n v="0"/>
    <n v="0"/>
    <n v="0"/>
  </r>
  <r>
    <x v="3"/>
    <x v="70"/>
    <s v="GEN"/>
    <x v="70"/>
    <n v="0"/>
    <n v="0"/>
    <n v="0"/>
    <n v="0"/>
    <n v="0"/>
    <n v="0"/>
    <n v="0"/>
    <n v="0"/>
    <n v="0"/>
    <n v="0"/>
    <n v="0"/>
    <n v="0"/>
    <n v="0"/>
    <n v="0"/>
    <n v="0"/>
    <n v="0"/>
    <n v="0"/>
    <n v="0"/>
  </r>
  <r>
    <x v="3"/>
    <x v="71"/>
    <s v="GEN"/>
    <x v="71"/>
    <n v="0"/>
    <n v="0"/>
    <n v="0"/>
    <n v="0"/>
    <n v="0"/>
    <n v="0"/>
    <n v="0"/>
    <n v="0"/>
    <n v="0"/>
    <n v="0"/>
    <n v="0"/>
    <n v="0"/>
    <n v="0"/>
    <n v="0"/>
    <n v="0"/>
    <n v="0"/>
    <n v="0"/>
    <n v="0"/>
  </r>
  <r>
    <x v="3"/>
    <x v="72"/>
    <s v="GEN"/>
    <x v="72"/>
    <n v="1362256.14299049"/>
    <n v="77382.724845492994"/>
    <n v="43053.719999567998"/>
    <n v="-7238.411647121"/>
    <n v="35907.986361818999"/>
    <n v="691.65100577500004"/>
    <n v="2066.5101771949999"/>
    <n v="0"/>
    <n v="0"/>
    <n v="56072.918507599999"/>
    <n v="31085.682415374999"/>
    <n v="-12667.092214857001"/>
    <n v="2665.3499296169998"/>
    <n v="0"/>
    <n v="-146.35756985200001"/>
    <n v="0"/>
    <n v="0"/>
    <n v="0"/>
  </r>
  <r>
    <x v="3"/>
    <x v="73"/>
    <s v="GEN"/>
    <x v="73"/>
    <n v="0"/>
    <n v="0"/>
    <n v="0"/>
    <n v="0"/>
    <n v="0"/>
    <n v="0"/>
    <n v="0"/>
    <n v="0"/>
    <n v="0"/>
    <n v="0"/>
    <n v="0"/>
    <n v="0"/>
    <n v="0"/>
    <n v="0"/>
    <n v="0"/>
    <n v="0"/>
    <n v="0"/>
    <n v="0"/>
  </r>
  <r>
    <x v="3"/>
    <x v="74"/>
    <s v="GEN"/>
    <x v="74"/>
    <n v="0"/>
    <n v="0"/>
    <n v="0"/>
    <n v="0"/>
    <n v="0"/>
    <n v="0"/>
    <n v="0"/>
    <n v="0"/>
    <n v="0"/>
    <n v="0"/>
    <n v="0"/>
    <n v="0"/>
    <n v="0"/>
    <n v="0"/>
    <n v="0"/>
    <n v="0"/>
    <n v="0"/>
    <n v="0"/>
  </r>
  <r>
    <x v="4"/>
    <x v="75"/>
    <s v="GEN"/>
    <x v="75"/>
    <n v="0"/>
    <n v="0"/>
    <n v="0"/>
    <n v="0"/>
    <n v="0"/>
    <n v="0"/>
    <n v="0"/>
    <n v="0"/>
    <n v="0"/>
    <n v="0"/>
    <n v="0"/>
    <n v="0"/>
    <n v="0"/>
    <n v="0"/>
    <n v="0"/>
    <n v="0"/>
    <n v="0"/>
    <n v="0"/>
  </r>
  <r>
    <x v="4"/>
    <x v="75"/>
    <s v="LOAD"/>
    <x v="76"/>
    <n v="-1262.36283703"/>
    <n v="0"/>
    <n v="0"/>
    <n v="0"/>
    <n v="-23.939998607"/>
    <n v="23.939998607"/>
    <n v="-1262.36283703"/>
    <n v="0"/>
    <n v="0"/>
    <n v="0"/>
    <n v="0"/>
    <n v="0"/>
    <n v="0"/>
    <n v="0"/>
    <n v="0"/>
    <n v="0"/>
    <n v="0"/>
    <n v="0"/>
  </r>
  <r>
    <x v="4"/>
    <x v="76"/>
    <s v="GEN"/>
    <x v="77"/>
    <n v="0"/>
    <n v="0"/>
    <n v="0"/>
    <n v="0"/>
    <n v="0"/>
    <n v="0"/>
    <n v="0"/>
    <n v="0"/>
    <n v="0"/>
    <n v="0"/>
    <n v="0"/>
    <n v="0"/>
    <n v="0"/>
    <n v="0"/>
    <n v="0"/>
    <n v="0"/>
    <n v="0"/>
    <n v="0"/>
  </r>
  <r>
    <x v="0"/>
    <x v="7"/>
    <s v="GEN"/>
    <x v="7"/>
    <n v="0"/>
    <n v="0"/>
    <n v="0"/>
    <n v="0"/>
    <n v="0"/>
    <n v="0"/>
    <n v="0"/>
    <n v="0"/>
    <n v="0"/>
    <n v="0"/>
    <n v="0"/>
    <n v="0"/>
    <n v="0"/>
    <n v="0"/>
    <n v="0"/>
    <n v="0"/>
    <n v="0"/>
    <n v="0"/>
  </r>
  <r>
    <x v="4"/>
    <x v="77"/>
    <s v="GEN"/>
    <x v="79"/>
    <n v="0"/>
    <n v="0"/>
    <n v="0"/>
    <n v="0"/>
    <n v="0"/>
    <n v="0"/>
    <n v="0"/>
    <n v="0"/>
    <n v="0"/>
    <n v="0"/>
    <n v="0"/>
    <n v="0"/>
    <n v="0"/>
    <n v="0"/>
    <n v="0"/>
    <n v="0"/>
    <n v="0"/>
    <n v="0"/>
  </r>
  <r>
    <x v="4"/>
    <x v="77"/>
    <s v="LOAD"/>
    <x v="80"/>
    <n v="-1730.0269200360001"/>
    <n v="0"/>
    <n v="0"/>
    <n v="0"/>
    <n v="-56.599197295000003"/>
    <n v="56.599197295000003"/>
    <n v="-1730.0269200360001"/>
    <n v="0"/>
    <n v="0"/>
    <n v="0"/>
    <n v="0"/>
    <n v="0"/>
    <n v="0"/>
    <n v="0"/>
    <n v="0"/>
    <n v="0"/>
    <n v="0"/>
    <n v="0"/>
  </r>
  <r>
    <x v="5"/>
    <x v="78"/>
    <s v="GEN"/>
    <x v="81"/>
    <n v="34215893.482274599"/>
    <n v="-672459.68423527805"/>
    <n v="847908.00000028801"/>
    <n v="3.3319263889999999"/>
    <n v="848141.61919757805"/>
    <n v="1024.1069302389999"/>
    <n v="5726.3851544520003"/>
    <n v="0"/>
    <n v="0"/>
    <n v="0"/>
    <n v="0"/>
    <n v="0"/>
    <n v="2.5775962950000002"/>
    <n v="0"/>
    <n v="-138.92878340999999"/>
    <n v="0"/>
    <n v="0"/>
    <n v="-672198.11379336601"/>
  </r>
  <r>
    <x v="5"/>
    <x v="79"/>
    <s v="GEN"/>
    <x v="82"/>
    <n v="33898669.227089502"/>
    <n v="-330.30999818399999"/>
    <n v="837007.20000028796"/>
    <n v="5.8872708219999996"/>
    <n v="837235.72872097394"/>
    <n v="1210.0078903860001"/>
    <n v="2213.4217245159998"/>
    <n v="0"/>
    <n v="0"/>
    <n v="0"/>
    <n v="0"/>
    <n v="0"/>
    <n v="2.5055754E-2"/>
    <n v="0"/>
    <n v="-190.37766486999999"/>
    <n v="0"/>
    <n v="0"/>
    <n v="0"/>
  </r>
  <r>
    <x v="6"/>
    <x v="80"/>
    <s v="GEN"/>
    <x v="83"/>
    <n v="1190989.9382948801"/>
    <n v="-52874.442742250998"/>
    <n v="14978.050003054999"/>
    <n v="10281.564933401"/>
    <n v="25262.466233814001"/>
    <n v="1132.8505962439999"/>
    <n v="-9203.8178213120009"/>
    <n v="0"/>
    <n v="0"/>
    <n v="0"/>
    <n v="0"/>
    <n v="0"/>
    <n v="-858.92305593200001"/>
    <n v="0"/>
    <n v="-50.787137915999999"/>
    <n v="0"/>
    <n v="0"/>
    <n v="-51625.175270537999"/>
  </r>
  <r>
    <x v="6"/>
    <x v="81"/>
    <s v="GEN"/>
    <x v="84"/>
    <n v="1155186.78396164"/>
    <n v="-29092.451642443"/>
    <n v="13064.950000632"/>
    <n v="11711.394972755999"/>
    <n v="24256.450324606001"/>
    <n v="1185.4598386089999"/>
    <n v="-25319.003835300999"/>
    <n v="0"/>
    <n v="0"/>
    <n v="0"/>
    <n v="0"/>
    <n v="0"/>
    <n v="-240.24798090300001"/>
    <n v="0"/>
    <n v="45.766619396999999"/>
    <n v="0"/>
    <n v="0"/>
    <n v="-28291.182678035999"/>
  </r>
  <r>
    <x v="6"/>
    <x v="82"/>
    <s v="GEN"/>
    <x v="85"/>
    <n v="11550030.258617301"/>
    <n v="-471616.95042590401"/>
    <n v="262069.130001012"/>
    <n v="-17767.109935861001"/>
    <n v="245149.478418443"/>
    <n v="4069.6127762219999"/>
    <n v="-18748.230872855998"/>
    <n v="7781.1053578499996"/>
    <n v="0"/>
    <n v="0"/>
    <n v="0"/>
    <n v="-1100.446976016"/>
    <n v="-10860.572732532"/>
    <n v="12574.799177610001"/>
    <n v="-130.01116161300001"/>
    <n v="0"/>
    <n v="0"/>
    <n v="-479065.14032346598"/>
  </r>
  <r>
    <x v="6"/>
    <x v="83"/>
    <s v="GEN"/>
    <x v="86"/>
    <n v="10301499.8709128"/>
    <n v="-359008.72608168097"/>
    <n v="288217.71999898303"/>
    <n v="-27121.841160393"/>
    <n v="262498.222192802"/>
    <n v="3766.7926251980002"/>
    <n v="61343.254845636999"/>
    <n v="11657.460540675"/>
    <n v="0"/>
    <n v="3291.2647450250001"/>
    <n v="89935.417648325005"/>
    <n v="-2427.6392481970001"/>
    <n v="4439.634774401"/>
    <n v="1200.564137799"/>
    <n v="-150.177230167"/>
    <n v="0"/>
    <n v="0"/>
    <n v="-466539.034309746"/>
  </r>
  <r>
    <x v="7"/>
    <x v="84"/>
    <s v="GEN"/>
    <x v="87"/>
    <n v="110715.69655096201"/>
    <n v="-24.434093425"/>
    <n v="4115.0100012359999"/>
    <n v="-163.342992796"/>
    <n v="3954.824896092"/>
    <n v="285.21431588899998"/>
    <n v="-885.47166292999998"/>
    <n v="0"/>
    <n v="0"/>
    <n v="0"/>
    <n v="0"/>
    <n v="0"/>
    <n v="102.040660368"/>
    <n v="0"/>
    <n v="-105.963594461"/>
    <n v="0"/>
    <n v="0"/>
    <n v="0"/>
  </r>
  <r>
    <x v="7"/>
    <x v="85"/>
    <s v="GEN"/>
    <x v="88"/>
    <n v="66794.344296030002"/>
    <n v="-58.981948875"/>
    <n v="2502.79000116"/>
    <n v="-105.946107189"/>
    <n v="2416.499709403"/>
    <n v="223.45451446499999"/>
    <n v="-1134.740692356"/>
    <n v="0"/>
    <n v="0"/>
    <n v="0"/>
    <n v="0"/>
    <n v="0"/>
    <n v="30.226046183000001"/>
    <n v="0"/>
    <n v="-68.493566448999999"/>
    <n v="0"/>
    <n v="0"/>
    <n v="0"/>
  </r>
  <r>
    <x v="0"/>
    <x v="8"/>
    <s v="GEN"/>
    <x v="8"/>
    <n v="1438489.9613387799"/>
    <n v="136740.309482813"/>
    <n v="32096.479998671999"/>
    <n v="-1219.8298874049999"/>
    <n v="31075.784202158"/>
    <n v="1549.4590749250001"/>
    <n v="-4349.7672731310004"/>
    <n v="62519.285462300002"/>
    <n v="0"/>
    <n v="32154.693981125001"/>
    <n v="45425.971127750003"/>
    <n v="-5170.8199049559998"/>
    <n v="-2007.86935068"/>
    <n v="3922.7669222330001"/>
    <n v="-83.144512121999995"/>
    <n v="0"/>
    <n v="0"/>
    <n v="0"/>
  </r>
  <r>
    <x v="7"/>
    <x v="86"/>
    <s v="GEN"/>
    <x v="89"/>
    <n v="107910.077928959"/>
    <n v="-64.207912136999994"/>
    <n v="4143.8900012040003"/>
    <n v="-263.06977394"/>
    <n v="3808.3030564589999"/>
    <n v="301.29775308699999"/>
    <n v="-2062.1336524540002"/>
    <n v="0"/>
    <n v="0"/>
    <n v="0"/>
    <n v="0"/>
    <n v="0"/>
    <n v="95.735607380999994"/>
    <n v="0"/>
    <n v="-146.338938251"/>
    <n v="0"/>
    <n v="0"/>
    <n v="0"/>
  </r>
  <r>
    <x v="7"/>
    <x v="87"/>
    <s v="GEN"/>
    <x v="90"/>
    <n v="99061.990998698006"/>
    <n v="31.884048881999998"/>
    <n v="3890.6000011320002"/>
    <n v="-347.92190267000001"/>
    <n v="3533.5012750300002"/>
    <n v="308.77370870599998"/>
    <n v="-1450.5941540470001"/>
    <n v="0"/>
    <n v="0"/>
    <n v="0"/>
    <n v="0"/>
    <n v="0"/>
    <n v="165.22852702500001"/>
    <n v="0"/>
    <n v="-115.34623462099999"/>
    <n v="0"/>
    <n v="0"/>
    <n v="0"/>
  </r>
  <r>
    <x v="7"/>
    <x v="88"/>
    <s v="GEN"/>
    <x v="91"/>
    <n v="32799.229581795997"/>
    <n v="-0.96827046500000002"/>
    <n v="1956.960001188"/>
    <n v="-111.058016569"/>
    <n v="1925.8982935449999"/>
    <n v="168.49023212500001"/>
    <n v="-976.87572341700002"/>
    <n v="0"/>
    <n v="0"/>
    <n v="0"/>
    <n v="0"/>
    <n v="0"/>
    <n v="38.702830884000001"/>
    <n v="0"/>
    <n v="-33.037690142000002"/>
    <n v="0"/>
    <n v="0"/>
    <n v="0"/>
  </r>
  <r>
    <x v="7"/>
    <x v="89"/>
    <s v="GEN"/>
    <x v="92"/>
    <n v="105029.29360108799"/>
    <n v="-32.581115472999997"/>
    <n v="3973.1000012159998"/>
    <n v="-230.164310242"/>
    <n v="3739.0995846010001"/>
    <n v="283.73983226299998"/>
    <n v="-835.89107733699996"/>
    <n v="0"/>
    <n v="0"/>
    <n v="0"/>
    <n v="0"/>
    <n v="0"/>
    <n v="92.983505364999999"/>
    <n v="0"/>
    <n v="-112.50864226100001"/>
    <n v="0"/>
    <n v="0"/>
    <n v="0"/>
  </r>
  <r>
    <x v="7"/>
    <x v="90"/>
    <s v="GEN"/>
    <x v="93"/>
    <n v="99732.959960786"/>
    <n v="-71.614895703000002"/>
    <n v="3795.1000011840001"/>
    <n v="-166.42234780499999"/>
    <n v="3639.9323156340001"/>
    <n v="324.05171455599998"/>
    <n v="-2957.8938922910002"/>
    <n v="0"/>
    <n v="0"/>
    <n v="0"/>
    <n v="0"/>
    <n v="0"/>
    <n v="64.972360808999994"/>
    <n v="0"/>
    <n v="-106.186259226"/>
    <n v="0"/>
    <n v="0"/>
    <n v="0"/>
  </r>
  <r>
    <x v="7"/>
    <x v="91"/>
    <s v="GEN"/>
    <x v="94"/>
    <n v="11283.136523552999"/>
    <n v="-18.559841170999999"/>
    <n v="382.699998768"/>
    <n v="5.4002608969999999"/>
    <n v="380.376293019"/>
    <n v="33.100009874999998"/>
    <n v="-374.63697997399998"/>
    <n v="0"/>
    <n v="0"/>
    <n v="0"/>
    <n v="0"/>
    <n v="0"/>
    <n v="-1.3233933529999999"/>
    <n v="0"/>
    <n v="-15.884698650000001"/>
    <n v="0"/>
    <n v="0"/>
    <n v="0"/>
  </r>
  <r>
    <x v="7"/>
    <x v="92"/>
    <s v="GEN"/>
    <x v="95"/>
    <n v="57231.968079580998"/>
    <n v="-22.172030791000001"/>
    <n v="2195.4700012080002"/>
    <n v="-128.203216242"/>
    <n v="2042.369519888"/>
    <n v="152.62189609199999"/>
    <n v="-795.62733251899999"/>
    <n v="0"/>
    <n v="0"/>
    <n v="0"/>
    <n v="0"/>
    <n v="0"/>
    <n v="53.067098803999997"/>
    <n v="0"/>
    <n v="-68.043215215000004"/>
    <n v="0"/>
    <n v="0"/>
    <n v="0"/>
  </r>
  <r>
    <x v="7"/>
    <x v="93"/>
    <s v="GEN"/>
    <x v="96"/>
    <n v="69188.327252016999"/>
    <n v="-22.673350497000001"/>
    <n v="2636.7600011280001"/>
    <n v="-85.633154504999993"/>
    <n v="2524.7674146539998"/>
    <n v="233.30866605200001"/>
    <n v="-2265.3047018120001"/>
    <n v="0"/>
    <n v="0"/>
    <n v="0"/>
    <n v="0"/>
    <n v="0"/>
    <n v="90.875271658000003"/>
    <n v="0"/>
    <n v="-57.411471237000001"/>
    <n v="0"/>
    <n v="0"/>
    <n v="0"/>
  </r>
  <r>
    <x v="8"/>
    <x v="94"/>
    <s v="GEN"/>
    <x v="97"/>
    <n v="23682.286309659001"/>
    <n v="-25.233744218999998"/>
    <n v="691.96000029599998"/>
    <n v="-42.708073626000001"/>
    <n v="627.95699999999999"/>
    <n v="68.376248571999994"/>
    <n v="-2195.3606691670002"/>
    <n v="0"/>
    <n v="0"/>
    <n v="0"/>
    <n v="0"/>
    <n v="0"/>
    <n v="1.0941087039999999"/>
    <n v="0"/>
    <n v="8.8499123629999996"/>
    <n v="0"/>
    <n v="0"/>
    <n v="0"/>
  </r>
  <r>
    <x v="8"/>
    <x v="95"/>
    <s v="GEN"/>
    <x v="98"/>
    <n v="5165.0475653809999"/>
    <n v="-4.4528515390000001"/>
    <n v="125.240000016"/>
    <n v="0"/>
    <n v="118.426"/>
    <n v="7.8131250100000003"/>
    <n v="-282.50348076400002"/>
    <n v="0"/>
    <n v="0"/>
    <n v="0"/>
    <n v="0"/>
    <n v="0"/>
    <n v="-4.0974108000000002E-2"/>
    <n v="0"/>
    <n v="-0.81640051999999996"/>
    <n v="0"/>
    <n v="0"/>
    <n v="0"/>
  </r>
  <r>
    <x v="10"/>
    <x v="98"/>
    <m/>
    <x v="101"/>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2" cacheId="6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2:F114" firstHeaderRow="0" firstDataRow="1" firstDataCol="2"/>
  <pivotFields count="8">
    <pivotField axis="axisRow" showAll="0">
      <items count="12">
        <item x="0"/>
        <item x="1"/>
        <item x="2"/>
        <item x="3"/>
        <item x="4"/>
        <item x="5"/>
        <item x="6"/>
        <item x="7"/>
        <item h="1" x="10"/>
        <item x="8"/>
        <item x="9"/>
        <item t="default"/>
      </items>
    </pivotField>
    <pivotField axis="axisRow" showAll="0">
      <items count="100">
        <item x="46"/>
        <item x="62"/>
        <item x="63"/>
        <item x="64"/>
        <item x="27"/>
        <item x="30"/>
        <item x="22"/>
        <item x="84"/>
        <item x="23"/>
        <item x="24"/>
        <item x="25"/>
        <item x="37"/>
        <item x="52"/>
        <item x="14"/>
        <item x="82"/>
        <item x="15"/>
        <item x="66"/>
        <item x="31"/>
        <item x="94"/>
        <item x="42"/>
        <item x="36"/>
        <item x="78"/>
        <item x="79"/>
        <item x="43"/>
        <item x="44"/>
        <item x="45"/>
        <item x="47"/>
        <item x="56"/>
        <item x="85"/>
        <item x="86"/>
        <item x="83"/>
        <item x="88"/>
        <item x="87"/>
        <item x="61"/>
        <item x="48"/>
        <item x="21"/>
        <item x="0"/>
        <item x="1"/>
        <item x="75"/>
        <item x="76"/>
        <item x="77"/>
        <item x="80"/>
        <item x="81"/>
        <item x="89"/>
        <item x="16"/>
        <item x="8"/>
        <item x="9"/>
        <item x="70"/>
        <item x="71"/>
        <item x="72"/>
        <item x="74"/>
        <item x="17"/>
        <item x="65"/>
        <item x="38"/>
        <item x="60"/>
        <item x="39"/>
        <item x="51"/>
        <item x="26"/>
        <item x="59"/>
        <item x="2"/>
        <item x="3"/>
        <item x="4"/>
        <item x="5"/>
        <item x="6"/>
        <item x="7"/>
        <item x="10"/>
        <item x="11"/>
        <item x="12"/>
        <item x="13"/>
        <item x="32"/>
        <item x="33"/>
        <item x="34"/>
        <item x="28"/>
        <item x="29"/>
        <item x="53"/>
        <item x="67"/>
        <item x="68"/>
        <item x="69"/>
        <item x="95"/>
        <item x="18"/>
        <item x="40"/>
        <item x="41"/>
        <item x="57"/>
        <item x="58"/>
        <item x="90"/>
        <item x="54"/>
        <item x="35"/>
        <item x="73"/>
        <item x="91"/>
        <item x="19"/>
        <item x="20"/>
        <item x="92"/>
        <item x="55"/>
        <item x="93"/>
        <item x="49"/>
        <item x="50"/>
        <item x="98"/>
        <item x="96"/>
        <item x="97"/>
        <item t="default"/>
      </items>
    </pivotField>
    <pivotField axis="axisRow" outline="0" showAll="0" sortType="ascending" defaultSubtotal="0">
      <items count="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s>
    </pivotField>
    <pivotField showAll="0"/>
    <pivotField dataField="1" showAll="0"/>
    <pivotField dataField="1" showAll="0"/>
    <pivotField dataField="1" showAll="0"/>
    <pivotField dataField="1" showAll="0"/>
  </pivotFields>
  <rowFields count="3">
    <field x="0"/>
    <field x="2"/>
    <field x="1"/>
  </rowFields>
  <rowItems count="112">
    <i>
      <x/>
    </i>
    <i r="1">
      <x/>
      <x v="36"/>
    </i>
    <i r="1">
      <x v="1"/>
      <x v="37"/>
    </i>
    <i r="1">
      <x v="2"/>
      <x v="59"/>
    </i>
    <i r="1">
      <x v="3"/>
      <x v="60"/>
    </i>
    <i r="1">
      <x v="4"/>
      <x v="61"/>
    </i>
    <i r="1">
      <x v="5"/>
      <x v="62"/>
    </i>
    <i r="1">
      <x v="6"/>
      <x v="63"/>
    </i>
    <i r="1">
      <x v="7"/>
      <x v="64"/>
    </i>
    <i r="1">
      <x v="8"/>
      <x v="45"/>
    </i>
    <i r="1">
      <x v="9"/>
      <x v="46"/>
    </i>
    <i r="1">
      <x v="10"/>
      <x v="65"/>
    </i>
    <i r="1">
      <x v="11"/>
      <x v="66"/>
    </i>
    <i r="1">
      <x v="12"/>
      <x v="67"/>
    </i>
    <i r="1">
      <x v="13"/>
      <x v="68"/>
    </i>
    <i r="1">
      <x v="14"/>
      <x v="13"/>
    </i>
    <i r="1">
      <x v="15"/>
      <x v="15"/>
    </i>
    <i r="1">
      <x v="16"/>
      <x v="44"/>
    </i>
    <i r="1">
      <x v="17"/>
      <x v="51"/>
    </i>
    <i r="1">
      <x v="18"/>
      <x v="79"/>
    </i>
    <i r="1">
      <x v="19"/>
      <x v="89"/>
    </i>
    <i r="1">
      <x v="20"/>
      <x v="90"/>
    </i>
    <i>
      <x v="1"/>
    </i>
    <i r="1">
      <x v="21"/>
      <x v="35"/>
    </i>
    <i r="1">
      <x v="22"/>
      <x v="6"/>
    </i>
    <i r="1">
      <x v="23"/>
      <x v="8"/>
    </i>
    <i r="1">
      <x v="24"/>
      <x v="9"/>
    </i>
    <i r="1">
      <x v="25"/>
      <x v="10"/>
    </i>
    <i r="1">
      <x v="26"/>
      <x v="57"/>
    </i>
    <i r="1">
      <x v="27"/>
      <x v="4"/>
    </i>
    <i r="1">
      <x v="28"/>
      <x v="72"/>
    </i>
    <i r="1">
      <x v="29"/>
      <x v="73"/>
    </i>
    <i r="1">
      <x v="30"/>
      <x v="5"/>
    </i>
    <i r="1">
      <x v="31"/>
      <x v="17"/>
    </i>
    <i r="1">
      <x v="32"/>
      <x v="69"/>
    </i>
    <i r="1">
      <x v="33"/>
      <x v="70"/>
    </i>
    <i r="1">
      <x v="34"/>
      <x v="71"/>
    </i>
    <i r="1">
      <x v="35"/>
      <x v="86"/>
    </i>
    <i r="1">
      <x v="36"/>
      <x v="20"/>
    </i>
    <i r="1">
      <x v="37"/>
      <x v="11"/>
    </i>
    <i r="1">
      <x v="38"/>
      <x v="53"/>
    </i>
    <i>
      <x v="2"/>
    </i>
    <i r="1">
      <x v="39"/>
      <x v="55"/>
    </i>
    <i r="1">
      <x v="40"/>
      <x v="80"/>
    </i>
    <i r="1">
      <x v="41"/>
      <x v="81"/>
    </i>
    <i r="1">
      <x v="42"/>
      <x v="19"/>
    </i>
    <i r="1">
      <x v="43"/>
      <x v="23"/>
    </i>
    <i r="1">
      <x v="44"/>
      <x v="24"/>
    </i>
    <i r="1">
      <x v="45"/>
      <x v="25"/>
    </i>
    <i r="1">
      <x v="46"/>
      <x/>
    </i>
    <i r="1">
      <x v="47"/>
      <x v="26"/>
    </i>
    <i r="1">
      <x v="48"/>
      <x v="34"/>
    </i>
    <i r="1">
      <x v="49"/>
      <x v="94"/>
    </i>
    <i r="1">
      <x v="50"/>
      <x v="95"/>
    </i>
    <i r="1">
      <x v="51"/>
      <x v="56"/>
    </i>
    <i r="1">
      <x v="52"/>
      <x v="12"/>
    </i>
    <i r="1">
      <x v="53"/>
      <x v="74"/>
    </i>
    <i r="1">
      <x v="54"/>
      <x v="85"/>
    </i>
    <i r="1">
      <x v="55"/>
      <x v="92"/>
    </i>
    <i r="1">
      <x v="56"/>
      <x v="27"/>
    </i>
    <i r="1">
      <x v="57"/>
      <x v="82"/>
    </i>
    <i r="1">
      <x v="58"/>
      <x v="83"/>
    </i>
    <i r="1">
      <x v="59"/>
      <x v="58"/>
    </i>
    <i r="1">
      <x v="60"/>
      <x v="54"/>
    </i>
    <i>
      <x v="3"/>
    </i>
    <i r="1">
      <x v="61"/>
      <x v="33"/>
    </i>
    <i r="1">
      <x v="62"/>
      <x v="1"/>
    </i>
    <i r="1">
      <x v="63"/>
      <x v="2"/>
    </i>
    <i r="1">
      <x v="64"/>
      <x v="3"/>
    </i>
    <i r="1">
      <x v="65"/>
      <x v="52"/>
    </i>
    <i r="1">
      <x v="66"/>
      <x v="16"/>
    </i>
    <i r="1">
      <x v="67"/>
      <x v="75"/>
    </i>
    <i r="1">
      <x v="68"/>
      <x v="76"/>
    </i>
    <i r="1">
      <x v="69"/>
      <x v="77"/>
    </i>
    <i r="1">
      <x v="70"/>
      <x v="47"/>
    </i>
    <i r="1">
      <x v="71"/>
      <x v="48"/>
    </i>
    <i r="1">
      <x v="72"/>
      <x v="49"/>
    </i>
    <i r="1">
      <x v="73"/>
      <x v="87"/>
    </i>
    <i r="1">
      <x v="74"/>
      <x v="50"/>
    </i>
    <i>
      <x v="4"/>
    </i>
    <i r="1">
      <x v="75"/>
      <x v="38"/>
    </i>
    <i r="1">
      <x v="76"/>
      <x v="38"/>
    </i>
    <i r="1">
      <x v="77"/>
      <x v="39"/>
    </i>
    <i r="1">
      <x v="78"/>
      <x v="39"/>
    </i>
    <i r="1">
      <x v="79"/>
      <x v="40"/>
    </i>
    <i r="1">
      <x v="80"/>
      <x v="40"/>
    </i>
    <i>
      <x v="5"/>
    </i>
    <i r="1">
      <x v="81"/>
      <x v="21"/>
    </i>
    <i r="1">
      <x v="82"/>
      <x v="22"/>
    </i>
    <i>
      <x v="6"/>
    </i>
    <i r="1">
      <x v="83"/>
      <x v="41"/>
    </i>
    <i r="1">
      <x v="84"/>
      <x v="42"/>
    </i>
    <i r="1">
      <x v="85"/>
      <x v="14"/>
    </i>
    <i r="1">
      <x v="86"/>
      <x v="30"/>
    </i>
    <i>
      <x v="7"/>
    </i>
    <i r="1">
      <x v="87"/>
      <x v="7"/>
    </i>
    <i r="1">
      <x v="88"/>
      <x v="28"/>
    </i>
    <i r="1">
      <x v="89"/>
      <x v="29"/>
    </i>
    <i r="1">
      <x v="90"/>
      <x v="32"/>
    </i>
    <i r="1">
      <x v="91"/>
      <x v="31"/>
    </i>
    <i r="1">
      <x v="92"/>
      <x v="43"/>
    </i>
    <i r="1">
      <x v="93"/>
      <x v="84"/>
    </i>
    <i r="1">
      <x v="94"/>
      <x v="88"/>
    </i>
    <i r="1">
      <x v="95"/>
      <x v="91"/>
    </i>
    <i r="1">
      <x v="96"/>
      <x v="93"/>
    </i>
    <i>
      <x v="9"/>
    </i>
    <i r="1">
      <x v="97"/>
      <x v="18"/>
    </i>
    <i r="1">
      <x v="98"/>
      <x v="78"/>
    </i>
    <i>
      <x v="10"/>
    </i>
    <i r="1">
      <x v="99"/>
      <x v="97"/>
    </i>
    <i r="1">
      <x v="100"/>
      <x v="98"/>
    </i>
    <i t="grand">
      <x/>
    </i>
  </rowItems>
  <colFields count="1">
    <field x="-2"/>
  </colFields>
  <colItems count="4">
    <i>
      <x/>
    </i>
    <i i="1">
      <x v="1"/>
    </i>
    <i i="2">
      <x v="2"/>
    </i>
    <i i="3">
      <x v="3"/>
    </i>
  </colItems>
  <dataFields count="4">
    <dataField name="Sum of QTY_MOTOR" fld="4" baseField="0" baseItem="9" numFmtId="38"/>
    <dataField name="Sum of AMT_MOTOR" fld="5" baseField="0" baseItem="9"/>
    <dataField name="Sum of QTY_MOTOR_TO_DSP" fld="6" baseField="0" baseItem="9"/>
    <dataField name="Sum of AMT_MOTOR_TO_DSP" fld="7" baseField="0" baseItem="9"/>
  </dataFields>
  <formats count="4">
    <format dxfId="8">
      <pivotArea outline="0" collapsedLevelsAreSubtotals="1" fieldPosition="0">
        <references count="1">
          <reference field="4294967294" count="1" selected="0">
            <x v="0"/>
          </reference>
        </references>
      </pivotArea>
    </format>
    <format dxfId="7">
      <pivotArea collapsedLevelsAreSubtotals="1" fieldPosition="0">
        <references count="2">
          <reference field="4294967294" count="1" selected="0">
            <x v="2"/>
          </reference>
          <reference field="0" count="1">
            <x v="0"/>
          </reference>
        </references>
      </pivotArea>
    </format>
    <format dxfId="6">
      <pivotArea collapsedLevelsAreSubtotals="1" fieldPosition="0">
        <references count="2">
          <reference field="4294967294" count="1" selected="0">
            <x v="1"/>
          </reference>
          <reference field="0" count="1">
            <x v="0"/>
          </reference>
        </references>
      </pivotArea>
    </format>
    <format dxfId="5">
      <pivotArea collapsedLevelsAreSubtotals="1" fieldPosition="0">
        <references count="2">
          <reference field="4294967294" count="1" selected="0">
            <x v="3"/>
          </reference>
          <reference field="0"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66" applyNumberFormats="0" applyBorderFormats="0" applyFontFormats="0" applyPatternFormats="0" applyAlignmentFormats="0" applyWidthHeightFormats="1" dataCaption="Values" errorCaption="0" showError="1" updatedVersion="4" minRefreshableVersion="3" useAutoFormatting="1" itemPrintTitles="1" createdVersion="4" indent="0" outline="1" outlineData="1" multipleFieldFilters="0">
  <location ref="H2:AC114" firstHeaderRow="0" firstDataRow="1" firstDataCol="2"/>
  <pivotFields count="25">
    <pivotField axis="axisRow" showAll="0">
      <items count="12">
        <item h="1" x="10"/>
        <item x="0"/>
        <item x="1"/>
        <item x="2"/>
        <item x="3"/>
        <item x="4"/>
        <item x="5"/>
        <item x="6"/>
        <item x="7"/>
        <item x="8"/>
        <item x="9"/>
        <item t="default"/>
      </items>
    </pivotField>
    <pivotField axis="axisRow" outline="0" showAll="0">
      <items count="100">
        <item x="98"/>
        <item x="0"/>
        <item x="9"/>
        <item x="10"/>
        <item x="11"/>
        <item x="12"/>
        <item x="13"/>
        <item x="14"/>
        <item x="15"/>
        <item x="16"/>
        <item x="17"/>
        <item x="18"/>
        <item x="1"/>
        <item x="19"/>
        <item x="20"/>
        <item x="21"/>
        <item x="22"/>
        <item x="23"/>
        <item x="24"/>
        <item x="25"/>
        <item x="26"/>
        <item x="27"/>
        <item x="28"/>
        <item x="2"/>
        <item x="29"/>
        <item x="30"/>
        <item x="31"/>
        <item x="32"/>
        <item x="33"/>
        <item x="34"/>
        <item x="35"/>
        <item x="36"/>
        <item x="38"/>
        <item x="3"/>
        <item x="39"/>
        <item x="40"/>
        <item x="41"/>
        <item x="42"/>
        <item x="43"/>
        <item x="44"/>
        <item x="45"/>
        <item x="46"/>
        <item x="47"/>
        <item x="48"/>
        <item x="4"/>
        <item x="49"/>
        <item x="50"/>
        <item x="51"/>
        <item x="52"/>
        <item x="53"/>
        <item x="54"/>
        <item x="55"/>
        <item x="56"/>
        <item x="57"/>
        <item x="58"/>
        <item x="5"/>
        <item x="59"/>
        <item x="61"/>
        <item x="62"/>
        <item x="63"/>
        <item x="64"/>
        <item x="65"/>
        <item x="66"/>
        <item x="67"/>
        <item x="68"/>
        <item x="6"/>
        <item x="69"/>
        <item x="70"/>
        <item x="71"/>
        <item x="72"/>
        <item x="73"/>
        <item x="74"/>
        <item x="75"/>
        <item x="76"/>
        <item x="7"/>
        <item x="77"/>
        <item x="78"/>
        <item x="79"/>
        <item x="80"/>
        <item x="81"/>
        <item x="82"/>
        <item x="83"/>
        <item x="84"/>
        <item x="85"/>
        <item x="8"/>
        <item x="86"/>
        <item x="87"/>
        <item x="88"/>
        <item x="89"/>
        <item x="90"/>
        <item x="91"/>
        <item x="92"/>
        <item x="93"/>
        <item x="94"/>
        <item x="95"/>
        <item x="60"/>
        <item x="37"/>
        <item x="96"/>
        <item x="97"/>
        <item t="default"/>
      </items>
    </pivotField>
    <pivotField showAll="0"/>
    <pivotField axis="axisRow" outline="0" showAll="0" defaultSubtotal="0">
      <items count="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101"/>
        <item x="39"/>
        <item x="40"/>
        <item x="41"/>
        <item x="42"/>
        <item x="43"/>
        <item x="44"/>
        <item x="45"/>
        <item x="46"/>
        <item x="47"/>
        <item x="48"/>
        <item x="49"/>
        <item x="50"/>
        <item x="51"/>
        <item x="52"/>
        <item x="53"/>
        <item x="54"/>
        <item x="55"/>
        <item x="56"/>
        <item x="57"/>
        <item x="58"/>
        <item x="59"/>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60"/>
        <item x="99"/>
        <item x="100"/>
      </items>
    </pivotField>
    <pivotField dataField="1" showAll="0"/>
    <pivotField dataField="1" showAll="0"/>
    <pivotField dataField="1" showAll="0" defaultSubtotal="0"/>
    <pivotField dataField="1" showAll="0" defaultSubtota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defaultSubtotal="0"/>
    <pivotField dataField="1" showAll="0"/>
    <pivotField dataField="1" showAll="0" defaultSubtotal="0"/>
    <pivotField dataField="1"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3">
    <field x="0"/>
    <field x="3"/>
    <field x="1"/>
  </rowFields>
  <rowItems count="112">
    <i>
      <x v="1"/>
    </i>
    <i r="1">
      <x/>
      <x v="1"/>
    </i>
    <i r="1">
      <x v="1"/>
      <x v="12"/>
    </i>
    <i r="1">
      <x v="2"/>
      <x v="23"/>
    </i>
    <i r="1">
      <x v="3"/>
      <x v="33"/>
    </i>
    <i r="1">
      <x v="4"/>
      <x v="44"/>
    </i>
    <i r="1">
      <x v="5"/>
      <x v="55"/>
    </i>
    <i r="1">
      <x v="6"/>
      <x v="65"/>
    </i>
    <i r="1">
      <x v="7"/>
      <x v="74"/>
    </i>
    <i r="1">
      <x v="8"/>
      <x v="84"/>
    </i>
    <i r="1">
      <x v="9"/>
      <x v="2"/>
    </i>
    <i r="1">
      <x v="10"/>
      <x v="3"/>
    </i>
    <i r="1">
      <x v="11"/>
      <x v="4"/>
    </i>
    <i r="1">
      <x v="12"/>
      <x v="5"/>
    </i>
    <i r="1">
      <x v="13"/>
      <x v="6"/>
    </i>
    <i r="1">
      <x v="14"/>
      <x v="7"/>
    </i>
    <i r="1">
      <x v="15"/>
      <x v="8"/>
    </i>
    <i r="1">
      <x v="16"/>
      <x v="9"/>
    </i>
    <i r="1">
      <x v="17"/>
      <x v="10"/>
    </i>
    <i r="1">
      <x v="18"/>
      <x v="11"/>
    </i>
    <i r="1">
      <x v="19"/>
      <x v="13"/>
    </i>
    <i r="1">
      <x v="20"/>
      <x v="14"/>
    </i>
    <i>
      <x v="2"/>
    </i>
    <i r="1">
      <x v="21"/>
      <x v="15"/>
    </i>
    <i r="1">
      <x v="22"/>
      <x v="16"/>
    </i>
    <i r="1">
      <x v="23"/>
      <x v="17"/>
    </i>
    <i r="1">
      <x v="24"/>
      <x v="18"/>
    </i>
    <i r="1">
      <x v="25"/>
      <x v="19"/>
    </i>
    <i r="1">
      <x v="26"/>
      <x v="20"/>
    </i>
    <i r="1">
      <x v="27"/>
      <x v="21"/>
    </i>
    <i r="1">
      <x v="28"/>
      <x v="22"/>
    </i>
    <i r="1">
      <x v="29"/>
      <x v="24"/>
    </i>
    <i r="1">
      <x v="30"/>
      <x v="25"/>
    </i>
    <i r="1">
      <x v="31"/>
      <x v="26"/>
    </i>
    <i r="1">
      <x v="32"/>
      <x v="27"/>
    </i>
    <i r="1">
      <x v="33"/>
      <x v="28"/>
    </i>
    <i r="1">
      <x v="34"/>
      <x v="29"/>
    </i>
    <i r="1">
      <x v="35"/>
      <x v="30"/>
    </i>
    <i r="1">
      <x v="36"/>
      <x v="31"/>
    </i>
    <i r="1">
      <x v="37"/>
      <x v="96"/>
    </i>
    <i r="1">
      <x v="38"/>
      <x v="32"/>
    </i>
    <i>
      <x v="3"/>
    </i>
    <i r="1">
      <x v="40"/>
      <x v="34"/>
    </i>
    <i r="1">
      <x v="41"/>
      <x v="35"/>
    </i>
    <i r="1">
      <x v="42"/>
      <x v="36"/>
    </i>
    <i r="1">
      <x v="43"/>
      <x v="37"/>
    </i>
    <i r="1">
      <x v="44"/>
      <x v="38"/>
    </i>
    <i r="1">
      <x v="45"/>
      <x v="39"/>
    </i>
    <i r="1">
      <x v="46"/>
      <x v="40"/>
    </i>
    <i r="1">
      <x v="47"/>
      <x v="41"/>
    </i>
    <i r="1">
      <x v="48"/>
      <x v="42"/>
    </i>
    <i r="1">
      <x v="49"/>
      <x v="43"/>
    </i>
    <i r="1">
      <x v="50"/>
      <x v="45"/>
    </i>
    <i r="1">
      <x v="51"/>
      <x v="46"/>
    </i>
    <i r="1">
      <x v="52"/>
      <x v="47"/>
    </i>
    <i r="1">
      <x v="53"/>
      <x v="48"/>
    </i>
    <i r="1">
      <x v="54"/>
      <x v="49"/>
    </i>
    <i r="1">
      <x v="55"/>
      <x v="50"/>
    </i>
    <i r="1">
      <x v="56"/>
      <x v="51"/>
    </i>
    <i r="1">
      <x v="57"/>
      <x v="52"/>
    </i>
    <i r="1">
      <x v="58"/>
      <x v="53"/>
    </i>
    <i r="1">
      <x v="59"/>
      <x v="54"/>
    </i>
    <i r="1">
      <x v="60"/>
      <x v="56"/>
    </i>
    <i r="1">
      <x v="99"/>
      <x v="95"/>
    </i>
    <i>
      <x v="4"/>
    </i>
    <i r="1">
      <x v="61"/>
      <x v="57"/>
    </i>
    <i r="1">
      <x v="62"/>
      <x v="58"/>
    </i>
    <i r="1">
      <x v="63"/>
      <x v="59"/>
    </i>
    <i r="1">
      <x v="64"/>
      <x v="60"/>
    </i>
    <i r="1">
      <x v="65"/>
      <x v="61"/>
    </i>
    <i r="1">
      <x v="66"/>
      <x v="62"/>
    </i>
    <i r="1">
      <x v="67"/>
      <x v="63"/>
    </i>
    <i r="1">
      <x v="68"/>
      <x v="64"/>
    </i>
    <i r="1">
      <x v="69"/>
      <x v="66"/>
    </i>
    <i r="1">
      <x v="70"/>
      <x v="67"/>
    </i>
    <i r="1">
      <x v="71"/>
      <x v="68"/>
    </i>
    <i r="1">
      <x v="72"/>
      <x v="69"/>
    </i>
    <i r="1">
      <x v="73"/>
      <x v="70"/>
    </i>
    <i r="1">
      <x v="74"/>
      <x v="71"/>
    </i>
    <i>
      <x v="5"/>
    </i>
    <i r="1">
      <x v="75"/>
      <x v="72"/>
    </i>
    <i r="1">
      <x v="76"/>
      <x v="72"/>
    </i>
    <i r="1">
      <x v="77"/>
      <x v="73"/>
    </i>
    <i r="1">
      <x v="78"/>
      <x v="73"/>
    </i>
    <i r="1">
      <x v="79"/>
      <x v="75"/>
    </i>
    <i r="1">
      <x v="80"/>
      <x v="75"/>
    </i>
    <i>
      <x v="6"/>
    </i>
    <i r="1">
      <x v="81"/>
      <x v="76"/>
    </i>
    <i r="1">
      <x v="82"/>
      <x v="77"/>
    </i>
    <i>
      <x v="7"/>
    </i>
    <i r="1">
      <x v="83"/>
      <x v="78"/>
    </i>
    <i r="1">
      <x v="84"/>
      <x v="79"/>
    </i>
    <i r="1">
      <x v="85"/>
      <x v="80"/>
    </i>
    <i r="1">
      <x v="86"/>
      <x v="81"/>
    </i>
    <i>
      <x v="8"/>
    </i>
    <i r="1">
      <x v="87"/>
      <x v="82"/>
    </i>
    <i r="1">
      <x v="88"/>
      <x v="83"/>
    </i>
    <i r="1">
      <x v="89"/>
      <x v="85"/>
    </i>
    <i r="1">
      <x v="90"/>
      <x v="86"/>
    </i>
    <i r="1">
      <x v="91"/>
      <x v="87"/>
    </i>
    <i r="1">
      <x v="92"/>
      <x v="88"/>
    </i>
    <i r="1">
      <x v="93"/>
      <x v="89"/>
    </i>
    <i r="1">
      <x v="94"/>
      <x v="90"/>
    </i>
    <i r="1">
      <x v="95"/>
      <x v="91"/>
    </i>
    <i r="1">
      <x v="96"/>
      <x v="92"/>
    </i>
    <i>
      <x v="9"/>
    </i>
    <i r="1">
      <x v="97"/>
      <x v="93"/>
    </i>
    <i r="1">
      <x v="98"/>
      <x v="94"/>
    </i>
    <i>
      <x v="10"/>
    </i>
    <i r="1">
      <x v="100"/>
      <x v="97"/>
    </i>
    <i r="1">
      <x v="101"/>
      <x v="98"/>
    </i>
    <i t="grand">
      <x/>
    </i>
  </rowItems>
  <colFields count="1">
    <field x="-2"/>
  </colFields>
  <colItems count="20">
    <i>
      <x/>
    </i>
    <i i="1">
      <x v="1"/>
    </i>
    <i i="2">
      <x v="2"/>
    </i>
    <i i="3">
      <x v="3"/>
    </i>
    <i i="4">
      <x v="4"/>
    </i>
    <i i="5">
      <x v="5"/>
    </i>
    <i i="6">
      <x v="6"/>
    </i>
    <i i="7">
      <x v="7"/>
    </i>
    <i i="8">
      <x v="8"/>
    </i>
    <i i="9">
      <x v="9"/>
    </i>
    <i i="10">
      <x v="10"/>
    </i>
    <i i="11">
      <x v="11"/>
    </i>
    <i i="12">
      <x v="12"/>
    </i>
    <i i="13">
      <x v="13"/>
    </i>
    <i i="14">
      <x v="14"/>
    </i>
    <i i="15">
      <x v="15"/>
    </i>
    <i i="16">
      <x v="16"/>
    </i>
    <i i="17">
      <x v="17"/>
    </i>
    <i i="18">
      <x v="18"/>
    </i>
    <i i="19">
      <x v="19"/>
    </i>
  </colItems>
  <dataFields count="20">
    <dataField name="Sum of TOTAL_DA_MWH" fld="6" baseField="1" baseItem="68"/>
    <dataField name="Sum of TOTAL_RTM_MWH" fld="7" baseField="1" baseItem="68"/>
    <dataField name="Sum of TOTAL_OUTPUT_MWH" fld="8" baseField="0" baseItem="0" numFmtId="38"/>
    <dataField name="Sum of UNINSTRUCTED_MWH_GROSS" fld="9" baseField="0" baseItem="0" numFmtId="38"/>
    <dataField name="Sum of CC6475" fld="10" baseField="0" baseItem="0" numFmtId="6"/>
    <dataField name="Sum of UIE By Total Output" fld="23" baseField="0" baseItem="0" numFmtId="9"/>
    <dataField name="Sum of TOTAL_ENERGY_AMOUNT" fld="4" baseField="0" baseItem="0" numFmtId="6"/>
    <dataField name="Sum of CC6100_6170" fld="11" baseField="0" baseItem="0" numFmtId="6"/>
    <dataField name="Sum of CC6200_6270" fld="12" baseField="0" baseItem="0" numFmtId="6"/>
    <dataField name="Sum of CC6500_6570" fld="13" baseField="0" baseItem="0" numFmtId="6"/>
    <dataField name="Sum of CC6600_6670" fld="14" baseField="0" baseItem="0" numFmtId="6"/>
    <dataField name="Sum of No Pay Percentage ABS" fld="24" baseField="0" baseItem="0" numFmtId="9"/>
    <dataField name="Sum of NET_NO_PAY" fld="15" baseField="0" baseItem="0" numFmtId="6"/>
    <dataField name="Sum of CC7070" fld="16" baseField="0" baseItem="0" numFmtId="6"/>
    <dataField name="Sum of CC7071" fld="17" baseField="0" baseItem="0" numFmtId="6"/>
    <dataField name="Sum of CC7078" fld="18" baseField="0" baseItem="0" numFmtId="6"/>
    <dataField name="Sum of CC7081" fld="19" baseField="0" baseItem="0" numFmtId="6"/>
    <dataField name="Sum of CC7088" fld="20" baseField="1" baseItem="5"/>
    <dataField name="Sum of RAAIM" fld="21" baseField="1" baseItem="5"/>
    <dataField name="Sum of TOTAL_CAPACITY_AMOUNT" fld="5" baseField="0" baseItem="0" numFmtId="6"/>
  </dataFields>
  <formats count="12">
    <format dxfId="20">
      <pivotArea outline="0" collapsedLevelsAreSubtotals="1" fieldPosition="0">
        <references count="1">
          <reference field="4294967294" count="10" selected="0">
            <x v="6"/>
            <x v="7"/>
            <x v="8"/>
            <x v="9"/>
            <x v="10"/>
            <x v="12"/>
            <x v="13"/>
            <x v="14"/>
            <x v="16"/>
            <x v="19"/>
          </reference>
        </references>
      </pivotArea>
    </format>
    <format dxfId="19">
      <pivotArea dataOnly="0" labelOnly="1" outline="0" fieldPosition="0">
        <references count="1">
          <reference field="4294967294" count="10">
            <x v="6"/>
            <x v="7"/>
            <x v="8"/>
            <x v="9"/>
            <x v="10"/>
            <x v="12"/>
            <x v="13"/>
            <x v="14"/>
            <x v="16"/>
            <x v="19"/>
          </reference>
        </references>
      </pivotArea>
    </format>
    <format dxfId="18">
      <pivotArea outline="0" collapsedLevelsAreSubtotals="1" fieldPosition="0">
        <references count="1">
          <reference field="4294967294" count="1" selected="0">
            <x v="4"/>
          </reference>
        </references>
      </pivotArea>
    </format>
    <format dxfId="17">
      <pivotArea dataOnly="0" labelOnly="1" outline="0" fieldPosition="0">
        <references count="1">
          <reference field="4294967294" count="1">
            <x v="4"/>
          </reference>
        </references>
      </pivotArea>
    </format>
    <format dxfId="16">
      <pivotArea outline="0" collapsedLevelsAreSubtotals="1" fieldPosition="0">
        <references count="1">
          <reference field="4294967294" count="1" selected="0">
            <x v="3"/>
          </reference>
        </references>
      </pivotArea>
    </format>
    <format dxfId="15">
      <pivotArea dataOnly="0" labelOnly="1" outline="0" fieldPosition="0">
        <references count="1">
          <reference field="4294967294" count="1">
            <x v="3"/>
          </reference>
        </references>
      </pivotArea>
    </format>
    <format dxfId="14">
      <pivotArea outline="0" collapsedLevelsAreSubtotals="1" fieldPosition="0">
        <references count="1">
          <reference field="4294967294" count="1" selected="0">
            <x v="2"/>
          </reference>
        </references>
      </pivotArea>
    </format>
    <format dxfId="13">
      <pivotArea dataOnly="0" labelOnly="1" outline="0" fieldPosition="0">
        <references count="1">
          <reference field="4294967294" count="1">
            <x v="2"/>
          </reference>
        </references>
      </pivotArea>
    </format>
    <format dxfId="12">
      <pivotArea outline="0" collapsedLevelsAreSubtotals="1" fieldPosition="0">
        <references count="1">
          <reference field="4294967294" count="1" selected="0">
            <x v="15"/>
          </reference>
        </references>
      </pivotArea>
    </format>
    <format dxfId="11">
      <pivotArea dataOnly="0" labelOnly="1" outline="0" fieldPosition="0">
        <references count="1">
          <reference field="4294967294" count="1">
            <x v="15"/>
          </reference>
        </references>
      </pivotArea>
    </format>
    <format dxfId="10">
      <pivotArea outline="0" collapsedLevelsAreSubtotals="1" fieldPosition="0">
        <references count="1">
          <reference field="4294967294" count="1" selected="0">
            <x v="5"/>
          </reference>
        </references>
      </pivotArea>
    </format>
    <format dxfId="9">
      <pivotArea outline="0" collapsedLevelsAreSubtotals="1" fieldPosition="0">
        <references count="1">
          <reference field="4294967294" count="1" selected="0">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E219"/>
  <sheetViews>
    <sheetView showGridLines="0" tabSelected="1" zoomScale="80" zoomScaleNormal="80" zoomScaleSheetLayoutView="70" workbookViewId="0">
      <pane xSplit="3" ySplit="5" topLeftCell="D6" activePane="bottomRight" state="frozen"/>
      <selection pane="topRight" activeCell="D1" sqref="D1"/>
      <selection pane="bottomLeft" activeCell="A6" sqref="A6"/>
      <selection pane="bottomRight" sqref="A1:AC1"/>
    </sheetView>
  </sheetViews>
  <sheetFormatPr defaultRowHeight="15" x14ac:dyDescent="0.25"/>
  <cols>
    <col min="1" max="1" width="6.5703125" style="23" customWidth="1"/>
    <col min="2" max="2" width="37.42578125" style="6" customWidth="1"/>
    <col min="3" max="4" width="11.42578125" style="23" customWidth="1"/>
    <col min="5" max="5" width="14.140625" style="23" customWidth="1"/>
    <col min="6" max="6" width="11.42578125" style="23" customWidth="1"/>
    <col min="7" max="7" width="13.42578125" style="23" customWidth="1"/>
    <col min="8" max="10" width="18.5703125" style="24" customWidth="1"/>
    <col min="11" max="11" width="18.28515625" style="25" customWidth="1"/>
    <col min="12" max="13" width="16.7109375" style="24" customWidth="1"/>
    <col min="14" max="14" width="18.28515625" style="25" customWidth="1"/>
    <col min="15" max="15" width="15.85546875" style="25" customWidth="1"/>
    <col min="16" max="16" width="17.5703125" style="25" customWidth="1"/>
    <col min="17" max="17" width="17.7109375" style="25" customWidth="1"/>
    <col min="18" max="18" width="22.28515625" style="25" customWidth="1"/>
    <col min="19" max="26" width="16.28515625" style="25" customWidth="1"/>
    <col min="27" max="27" width="18" style="25" customWidth="1"/>
    <col min="28" max="28" width="18.42578125" style="25" customWidth="1"/>
    <col min="29" max="29" width="6" style="25" bestFit="1" customWidth="1"/>
    <col min="30" max="30" width="5.42578125" style="23" customWidth="1"/>
    <col min="31" max="16384" width="9.140625" style="9"/>
  </cols>
  <sheetData>
    <row r="1" spans="1:30" ht="29.25" thickBot="1" x14ac:dyDescent="0.5">
      <c r="A1" s="126" t="s">
        <v>392</v>
      </c>
      <c r="B1" s="127"/>
      <c r="C1" s="127"/>
      <c r="D1" s="127"/>
      <c r="E1" s="127"/>
      <c r="F1" s="127"/>
      <c r="G1" s="127"/>
      <c r="H1" s="127"/>
      <c r="I1" s="127"/>
      <c r="J1" s="127"/>
      <c r="K1" s="127"/>
      <c r="L1" s="127"/>
      <c r="M1" s="127"/>
      <c r="N1" s="127"/>
      <c r="O1" s="127"/>
      <c r="P1" s="127"/>
      <c r="Q1" s="127"/>
      <c r="R1" s="127"/>
      <c r="S1" s="127"/>
      <c r="T1" s="127"/>
      <c r="U1" s="127"/>
      <c r="V1" s="127"/>
      <c r="W1" s="127"/>
      <c r="X1" s="127"/>
      <c r="Y1" s="127"/>
      <c r="Z1" s="127"/>
      <c r="AA1" s="127"/>
      <c r="AB1" s="127"/>
      <c r="AC1" s="128"/>
      <c r="AD1" s="9"/>
    </row>
    <row r="2" spans="1:30" s="13" customFormat="1" ht="15.75" thickBot="1" x14ac:dyDescent="0.3">
      <c r="A2" s="10"/>
      <c r="B2" s="146" t="s">
        <v>125</v>
      </c>
      <c r="C2" s="146"/>
      <c r="D2" s="46" t="s">
        <v>22</v>
      </c>
      <c r="E2" s="43" t="s">
        <v>23</v>
      </c>
      <c r="F2" s="44" t="s">
        <v>24</v>
      </c>
      <c r="G2" s="59" t="s">
        <v>25</v>
      </c>
      <c r="H2" s="46" t="s">
        <v>26</v>
      </c>
      <c r="I2" s="43" t="s">
        <v>27</v>
      </c>
      <c r="J2" s="44" t="s">
        <v>28</v>
      </c>
      <c r="K2" s="59" t="s">
        <v>29</v>
      </c>
      <c r="L2" s="97" t="s">
        <v>30</v>
      </c>
      <c r="M2" s="60" t="s">
        <v>60</v>
      </c>
      <c r="N2" s="44" t="s">
        <v>61</v>
      </c>
      <c r="O2" s="44" t="s">
        <v>62</v>
      </c>
      <c r="P2" s="44" t="s">
        <v>63</v>
      </c>
      <c r="Q2" s="44" t="s">
        <v>56</v>
      </c>
      <c r="R2" s="44" t="s">
        <v>64</v>
      </c>
      <c r="S2" s="44" t="s">
        <v>114</v>
      </c>
      <c r="T2" s="44" t="s">
        <v>124</v>
      </c>
      <c r="U2" s="44" t="s">
        <v>128</v>
      </c>
      <c r="V2" s="61" t="s">
        <v>348</v>
      </c>
      <c r="W2" s="45" t="s">
        <v>349</v>
      </c>
      <c r="X2" s="45" t="s">
        <v>350</v>
      </c>
      <c r="Y2" s="45" t="s">
        <v>351</v>
      </c>
      <c r="Z2" s="45" t="s">
        <v>381</v>
      </c>
      <c r="AA2" s="45" t="s">
        <v>382</v>
      </c>
      <c r="AB2" s="22" t="s">
        <v>383</v>
      </c>
      <c r="AC2" s="12"/>
    </row>
    <row r="3" spans="1:30" s="11" customFormat="1" ht="36" customHeight="1" thickBot="1" x14ac:dyDescent="0.3">
      <c r="A3" s="10"/>
      <c r="B3" s="129" t="s">
        <v>21</v>
      </c>
      <c r="C3" s="130"/>
      <c r="D3" s="116" t="s">
        <v>343</v>
      </c>
      <c r="E3" s="117"/>
      <c r="F3" s="117"/>
      <c r="G3" s="117"/>
      <c r="H3" s="116" t="s">
        <v>19</v>
      </c>
      <c r="I3" s="117"/>
      <c r="J3" s="117"/>
      <c r="K3" s="117"/>
      <c r="L3" s="117"/>
      <c r="M3" s="117"/>
      <c r="N3" s="117"/>
      <c r="O3" s="105" t="s">
        <v>20</v>
      </c>
      <c r="P3" s="106"/>
      <c r="Q3" s="106"/>
      <c r="R3" s="106"/>
      <c r="S3" s="106"/>
      <c r="T3" s="106"/>
      <c r="U3" s="106"/>
      <c r="V3" s="106"/>
      <c r="W3" s="106"/>
      <c r="X3" s="106"/>
      <c r="Y3" s="106"/>
      <c r="Z3" s="106"/>
      <c r="AA3" s="107"/>
      <c r="AB3" s="41" t="s">
        <v>58</v>
      </c>
      <c r="AC3" s="10"/>
    </row>
    <row r="4" spans="1:30" s="13" customFormat="1" ht="42.75" customHeight="1" thickBot="1" x14ac:dyDescent="0.3">
      <c r="A4" s="42"/>
      <c r="B4" s="147" t="s">
        <v>31</v>
      </c>
      <c r="C4" s="149" t="s">
        <v>32</v>
      </c>
      <c r="D4" s="118" t="s">
        <v>344</v>
      </c>
      <c r="E4" s="120" t="s">
        <v>345</v>
      </c>
      <c r="F4" s="122" t="s">
        <v>346</v>
      </c>
      <c r="G4" s="124" t="s">
        <v>347</v>
      </c>
      <c r="H4" s="103" t="s">
        <v>375</v>
      </c>
      <c r="I4" s="112" t="s">
        <v>376</v>
      </c>
      <c r="J4" s="112" t="s">
        <v>74</v>
      </c>
      <c r="K4" s="112" t="s">
        <v>6</v>
      </c>
      <c r="L4" s="114" t="s">
        <v>5</v>
      </c>
      <c r="M4" s="108" t="s">
        <v>127</v>
      </c>
      <c r="N4" s="131" t="s">
        <v>73</v>
      </c>
      <c r="O4" s="133" t="s">
        <v>369</v>
      </c>
      <c r="P4" s="110" t="s">
        <v>370</v>
      </c>
      <c r="Q4" s="110" t="s">
        <v>371</v>
      </c>
      <c r="R4" s="110" t="s">
        <v>372</v>
      </c>
      <c r="S4" s="110" t="s">
        <v>123</v>
      </c>
      <c r="T4" s="110" t="s">
        <v>96</v>
      </c>
      <c r="U4" s="135" t="s">
        <v>109</v>
      </c>
      <c r="V4" s="142" t="s">
        <v>110</v>
      </c>
      <c r="W4" s="143"/>
      <c r="X4" s="144" t="s">
        <v>111</v>
      </c>
      <c r="Y4" s="145"/>
      <c r="Z4" s="140" t="s">
        <v>104</v>
      </c>
      <c r="AA4" s="137" t="s">
        <v>71</v>
      </c>
      <c r="AB4" s="139" t="s">
        <v>70</v>
      </c>
      <c r="AC4" s="12"/>
    </row>
    <row r="5" spans="1:30" s="15" customFormat="1" ht="72.75" customHeight="1" x14ac:dyDescent="0.25">
      <c r="A5" s="47"/>
      <c r="B5" s="148"/>
      <c r="C5" s="150"/>
      <c r="D5" s="119"/>
      <c r="E5" s="121"/>
      <c r="F5" s="123"/>
      <c r="G5" s="125"/>
      <c r="H5" s="104"/>
      <c r="I5" s="113"/>
      <c r="J5" s="113"/>
      <c r="K5" s="113"/>
      <c r="L5" s="115"/>
      <c r="M5" s="109"/>
      <c r="N5" s="132"/>
      <c r="O5" s="134"/>
      <c r="P5" s="111"/>
      <c r="Q5" s="111"/>
      <c r="R5" s="111"/>
      <c r="S5" s="111"/>
      <c r="T5" s="111"/>
      <c r="U5" s="136"/>
      <c r="V5" s="68" t="s">
        <v>112</v>
      </c>
      <c r="W5" s="68" t="s">
        <v>113</v>
      </c>
      <c r="X5" s="69" t="s">
        <v>112</v>
      </c>
      <c r="Y5" s="70" t="s">
        <v>113</v>
      </c>
      <c r="Z5" s="141"/>
      <c r="AA5" s="138"/>
      <c r="AB5" s="139"/>
      <c r="AC5" s="14"/>
    </row>
    <row r="6" spans="1:30" s="17" customFormat="1" x14ac:dyDescent="0.25">
      <c r="A6" s="16">
        <v>1</v>
      </c>
      <c r="B6" s="101" t="s">
        <v>132</v>
      </c>
      <c r="C6" s="102"/>
      <c r="D6" s="30">
        <v>-212.07350000000002</v>
      </c>
      <c r="E6" s="20">
        <v>-5017.1789999999992</v>
      </c>
      <c r="F6" s="30">
        <v>2636.7498000000001</v>
      </c>
      <c r="G6" s="20">
        <v>85156.565400000007</v>
      </c>
      <c r="H6" s="30">
        <v>219727.65000270004</v>
      </c>
      <c r="I6" s="30">
        <v>-1242.4722947629998</v>
      </c>
      <c r="J6" s="30">
        <v>217670.189011479</v>
      </c>
      <c r="K6" s="30">
        <v>8248.4889955439994</v>
      </c>
      <c r="L6" s="20">
        <v>-54787.018635444008</v>
      </c>
      <c r="M6" s="80">
        <v>3.7894435765427711E-2</v>
      </c>
      <c r="N6" s="53">
        <v>9330495.5458179414</v>
      </c>
      <c r="O6" s="20">
        <v>266845.14671939996</v>
      </c>
      <c r="P6" s="20">
        <v>1.8E-3</v>
      </c>
      <c r="Q6" s="20">
        <v>105012.66455300001</v>
      </c>
      <c r="R6" s="20">
        <v>123753.6594244</v>
      </c>
      <c r="S6" s="77">
        <v>8.2324114254549344E-2</v>
      </c>
      <c r="T6" s="20">
        <v>-40800.775487692001</v>
      </c>
      <c r="U6" s="20">
        <v>-8279.8426781369999</v>
      </c>
      <c r="V6" s="20">
        <v>11514.933972164001</v>
      </c>
      <c r="W6" s="20">
        <v>-964.93521015800013</v>
      </c>
      <c r="X6" s="20">
        <v>0</v>
      </c>
      <c r="Y6" s="20">
        <v>0</v>
      </c>
      <c r="Z6" s="20">
        <v>-221251.93088678399</v>
      </c>
      <c r="AA6" s="52">
        <v>235207.24563462602</v>
      </c>
      <c r="AB6" s="49">
        <f>AA6+N6</f>
        <v>9565702.791452568</v>
      </c>
      <c r="AC6" s="16">
        <v>1</v>
      </c>
    </row>
    <row r="7" spans="1:30" s="13" customFormat="1" x14ac:dyDescent="0.25">
      <c r="A7" s="18">
        <v>2</v>
      </c>
      <c r="B7" s="86" t="s">
        <v>133</v>
      </c>
      <c r="C7" s="85">
        <f>VLOOKUP(B7,'UOG List'!C:G,5,FALSE)</f>
        <v>8.5</v>
      </c>
      <c r="D7" s="29">
        <v>0</v>
      </c>
      <c r="E7" s="19">
        <v>0</v>
      </c>
      <c r="F7" s="29">
        <v>4.87E-2</v>
      </c>
      <c r="G7" s="19">
        <v>-0.59660000000000002</v>
      </c>
      <c r="H7" s="29">
        <v>2610.240000192</v>
      </c>
      <c r="I7" s="29">
        <v>-101.083190214</v>
      </c>
      <c r="J7" s="29">
        <v>2632.315824969</v>
      </c>
      <c r="K7" s="29">
        <v>169.703048655</v>
      </c>
      <c r="L7" s="19">
        <v>3744.2552009320002</v>
      </c>
      <c r="M7" s="81">
        <v>6.446910626957103E-2</v>
      </c>
      <c r="N7" s="55">
        <v>102862.08202391199</v>
      </c>
      <c r="O7" s="19">
        <v>0</v>
      </c>
      <c r="P7" s="19">
        <v>0</v>
      </c>
      <c r="Q7" s="19">
        <v>0</v>
      </c>
      <c r="R7" s="19">
        <v>0</v>
      </c>
      <c r="S7" s="78">
        <v>0</v>
      </c>
      <c r="T7" s="19">
        <v>0</v>
      </c>
      <c r="U7" s="19">
        <v>9.2741075249999998</v>
      </c>
      <c r="V7" s="19">
        <v>0</v>
      </c>
      <c r="W7" s="19">
        <v>-9.0265122150000003</v>
      </c>
      <c r="X7" s="19">
        <v>0</v>
      </c>
      <c r="Y7" s="19">
        <v>0</v>
      </c>
      <c r="Z7" s="19">
        <v>-1568.4857283480001</v>
      </c>
      <c r="AA7" s="50">
        <v>-1573.65053782</v>
      </c>
      <c r="AB7" s="48">
        <f>AA7+N7</f>
        <v>101288.431486092</v>
      </c>
      <c r="AC7" s="18">
        <v>2</v>
      </c>
    </row>
    <row r="8" spans="1:30" s="13" customFormat="1" x14ac:dyDescent="0.25">
      <c r="A8" s="18">
        <v>3</v>
      </c>
      <c r="B8" s="86" t="s">
        <v>134</v>
      </c>
      <c r="C8" s="85">
        <f>VLOOKUP(B8,'UOG List'!C:G,5,FALSE)</f>
        <v>8.5</v>
      </c>
      <c r="D8" s="29">
        <v>0</v>
      </c>
      <c r="E8" s="19">
        <v>0</v>
      </c>
      <c r="F8" s="29">
        <v>18.046299999999999</v>
      </c>
      <c r="G8" s="19">
        <v>1618.0279</v>
      </c>
      <c r="H8" s="29">
        <v>3553.7099997119999</v>
      </c>
      <c r="I8" s="29">
        <v>7.8740041959999996</v>
      </c>
      <c r="J8" s="29">
        <v>3591.6288763930002</v>
      </c>
      <c r="K8" s="29">
        <v>128.37710759800001</v>
      </c>
      <c r="L8" s="19">
        <v>604.26839994600005</v>
      </c>
      <c r="M8" s="81">
        <v>3.5743422278898297E-2</v>
      </c>
      <c r="N8" s="55">
        <v>139801.41351126099</v>
      </c>
      <c r="O8" s="19">
        <v>0</v>
      </c>
      <c r="P8" s="19">
        <v>0</v>
      </c>
      <c r="Q8" s="19">
        <v>0</v>
      </c>
      <c r="R8" s="19">
        <v>0</v>
      </c>
      <c r="S8" s="78">
        <v>0</v>
      </c>
      <c r="T8" s="19">
        <v>0</v>
      </c>
      <c r="U8" s="19">
        <v>0.51223239600000003</v>
      </c>
      <c r="V8" s="19">
        <v>0</v>
      </c>
      <c r="W8" s="19">
        <v>3.467871057</v>
      </c>
      <c r="X8" s="19">
        <v>0</v>
      </c>
      <c r="Y8" s="19">
        <v>0</v>
      </c>
      <c r="Z8" s="19">
        <v>-2794.9417179359998</v>
      </c>
      <c r="AA8" s="50">
        <v>-2823.4346680190001</v>
      </c>
      <c r="AB8" s="48">
        <f t="shared" ref="AB8:AB71" si="0">AA8+N8</f>
        <v>136977.97884324199</v>
      </c>
      <c r="AC8" s="18">
        <v>3</v>
      </c>
    </row>
    <row r="9" spans="1:30" s="13" customFormat="1" x14ac:dyDescent="0.25">
      <c r="A9" s="18">
        <v>4</v>
      </c>
      <c r="B9" s="86" t="s">
        <v>135</v>
      </c>
      <c r="C9" s="85">
        <f>VLOOKUP(B9,'UOG List'!C:G,5,FALSE)</f>
        <v>32</v>
      </c>
      <c r="D9" s="29">
        <v>-2.6854</v>
      </c>
      <c r="E9" s="19">
        <v>-72.975300000000004</v>
      </c>
      <c r="F9" s="29">
        <v>-0.97829999999999995</v>
      </c>
      <c r="G9" s="19">
        <v>-361.56209999999999</v>
      </c>
      <c r="H9" s="29">
        <v>15890.600000484001</v>
      </c>
      <c r="I9" s="29">
        <v>-92.202678675000001</v>
      </c>
      <c r="J9" s="29">
        <v>16006.158980816999</v>
      </c>
      <c r="K9" s="29">
        <v>336.39386880799998</v>
      </c>
      <c r="L9" s="19">
        <v>11243.356050861001</v>
      </c>
      <c r="M9" s="81">
        <v>2.1016526776421504E-2</v>
      </c>
      <c r="N9" s="55">
        <v>687309.89238657698</v>
      </c>
      <c r="O9" s="19">
        <v>0</v>
      </c>
      <c r="P9" s="19">
        <v>0</v>
      </c>
      <c r="Q9" s="19">
        <v>0</v>
      </c>
      <c r="R9" s="19">
        <v>0</v>
      </c>
      <c r="S9" s="78">
        <v>0</v>
      </c>
      <c r="T9" s="19">
        <v>0</v>
      </c>
      <c r="U9" s="19">
        <v>-379.09391417400002</v>
      </c>
      <c r="V9" s="19">
        <v>0</v>
      </c>
      <c r="W9" s="19">
        <v>-31.849491045000001</v>
      </c>
      <c r="X9" s="19">
        <v>0</v>
      </c>
      <c r="Y9" s="19">
        <v>0</v>
      </c>
      <c r="Z9" s="19">
        <v>-4859.6009152979996</v>
      </c>
      <c r="AA9" s="50">
        <v>-5279.1615364930003</v>
      </c>
      <c r="AB9" s="48">
        <f t="shared" si="0"/>
        <v>682030.73085008399</v>
      </c>
      <c r="AC9" s="18">
        <v>4</v>
      </c>
    </row>
    <row r="10" spans="1:30" s="13" customFormat="1" x14ac:dyDescent="0.25">
      <c r="A10" s="18">
        <v>5</v>
      </c>
      <c r="B10" s="86" t="s">
        <v>136</v>
      </c>
      <c r="C10" s="85">
        <f>VLOOKUP(B10,'UOG List'!C:G,5,FALSE)</f>
        <v>32</v>
      </c>
      <c r="D10" s="29">
        <v>0</v>
      </c>
      <c r="E10" s="19">
        <v>0</v>
      </c>
      <c r="F10" s="29">
        <v>-1.29E-2</v>
      </c>
      <c r="G10" s="19">
        <v>-0.43269999999999997</v>
      </c>
      <c r="H10" s="29">
        <v>190.20000002399999</v>
      </c>
      <c r="I10" s="29">
        <v>-0.17874999799999999</v>
      </c>
      <c r="J10" s="29">
        <v>197.86758541699999</v>
      </c>
      <c r="K10" s="29">
        <v>9.5692430510000008</v>
      </c>
      <c r="L10" s="19">
        <v>187.56308663300001</v>
      </c>
      <c r="M10" s="81">
        <v>4.8361852856460087E-2</v>
      </c>
      <c r="N10" s="55">
        <v>5157.1031509439999</v>
      </c>
      <c r="O10" s="19">
        <v>0</v>
      </c>
      <c r="P10" s="19">
        <v>0</v>
      </c>
      <c r="Q10" s="19">
        <v>0</v>
      </c>
      <c r="R10" s="19">
        <v>0</v>
      </c>
      <c r="S10" s="78">
        <v>0</v>
      </c>
      <c r="T10" s="19">
        <v>0</v>
      </c>
      <c r="U10" s="19">
        <v>0</v>
      </c>
      <c r="V10" s="19">
        <v>0</v>
      </c>
      <c r="W10" s="19">
        <v>-0.34208871200000002</v>
      </c>
      <c r="X10" s="19">
        <v>0</v>
      </c>
      <c r="Y10" s="19">
        <v>0</v>
      </c>
      <c r="Z10" s="19">
        <v>0</v>
      </c>
      <c r="AA10" s="50">
        <v>-0.34209301399999997</v>
      </c>
      <c r="AB10" s="48">
        <f t="shared" si="0"/>
        <v>5156.7610579299999</v>
      </c>
      <c r="AC10" s="18">
        <v>5</v>
      </c>
    </row>
    <row r="11" spans="1:30" s="13" customFormat="1" x14ac:dyDescent="0.25">
      <c r="A11" s="18">
        <v>6</v>
      </c>
      <c r="B11" s="86" t="s">
        <v>137</v>
      </c>
      <c r="C11" s="85">
        <f>VLOOKUP(B11,'UOG List'!C:G,5,FALSE)</f>
        <v>70.599999999999994</v>
      </c>
      <c r="D11" s="29">
        <v>0</v>
      </c>
      <c r="E11" s="19">
        <v>0</v>
      </c>
      <c r="F11" s="29">
        <v>156.91079999999999</v>
      </c>
      <c r="G11" s="19">
        <v>4748.9373999999998</v>
      </c>
      <c r="H11" s="29">
        <v>24373.999999404001</v>
      </c>
      <c r="I11" s="29">
        <v>391.05207705700002</v>
      </c>
      <c r="J11" s="29">
        <v>24871.031245192</v>
      </c>
      <c r="K11" s="29">
        <v>420.12334783900002</v>
      </c>
      <c r="L11" s="19">
        <v>4150.0681106769998</v>
      </c>
      <c r="M11" s="81">
        <v>1.6892075913427076E-2</v>
      </c>
      <c r="N11" s="55">
        <v>973064.17669774604</v>
      </c>
      <c r="O11" s="19">
        <v>0</v>
      </c>
      <c r="P11" s="19">
        <v>0</v>
      </c>
      <c r="Q11" s="19">
        <v>0</v>
      </c>
      <c r="R11" s="19">
        <v>0</v>
      </c>
      <c r="S11" s="78">
        <v>0</v>
      </c>
      <c r="T11" s="19">
        <v>0</v>
      </c>
      <c r="U11" s="19">
        <v>-29.559649391000001</v>
      </c>
      <c r="V11" s="19">
        <v>0</v>
      </c>
      <c r="W11" s="19">
        <v>-49.392171701999999</v>
      </c>
      <c r="X11" s="19">
        <v>0</v>
      </c>
      <c r="Y11" s="19">
        <v>0</v>
      </c>
      <c r="Z11" s="19">
        <v>-23126.150142605999</v>
      </c>
      <c r="AA11" s="50">
        <v>-23246.735128845001</v>
      </c>
      <c r="AB11" s="48">
        <f t="shared" si="0"/>
        <v>949817.44156890106</v>
      </c>
      <c r="AC11" s="18">
        <v>6</v>
      </c>
    </row>
    <row r="12" spans="1:30" s="13" customFormat="1" x14ac:dyDescent="0.25">
      <c r="A12" s="18">
        <v>7</v>
      </c>
      <c r="B12" s="86" t="s">
        <v>138</v>
      </c>
      <c r="C12" s="85">
        <f>VLOOKUP(B12,'UOG List'!C:G,5,FALSE)</f>
        <v>95</v>
      </c>
      <c r="D12" s="29">
        <v>0</v>
      </c>
      <c r="E12" s="19">
        <v>0</v>
      </c>
      <c r="F12" s="29">
        <v>0</v>
      </c>
      <c r="G12" s="19">
        <v>0</v>
      </c>
      <c r="H12" s="29">
        <v>30613.500000576001</v>
      </c>
      <c r="I12" s="29">
        <v>295.390105753</v>
      </c>
      <c r="J12" s="29">
        <v>30829.606681067999</v>
      </c>
      <c r="K12" s="29">
        <v>410.18517385899997</v>
      </c>
      <c r="L12" s="19">
        <v>-4056.006091145</v>
      </c>
      <c r="M12" s="81">
        <v>1.3304911026026439E-2</v>
      </c>
      <c r="N12" s="55">
        <v>1214202.40925716</v>
      </c>
      <c r="O12" s="19">
        <v>0</v>
      </c>
      <c r="P12" s="19">
        <v>0</v>
      </c>
      <c r="Q12" s="19">
        <v>0</v>
      </c>
      <c r="R12" s="19">
        <v>0</v>
      </c>
      <c r="S12" s="78">
        <v>0</v>
      </c>
      <c r="T12" s="19">
        <v>0</v>
      </c>
      <c r="U12" s="19">
        <v>-29.852937497999999</v>
      </c>
      <c r="V12" s="19">
        <v>0</v>
      </c>
      <c r="W12" s="19">
        <v>-79.135728455999995</v>
      </c>
      <c r="X12" s="19">
        <v>0</v>
      </c>
      <c r="Y12" s="19">
        <v>0</v>
      </c>
      <c r="Z12" s="19">
        <v>-28010.721159011999</v>
      </c>
      <c r="AA12" s="50">
        <v>-28195.098967389</v>
      </c>
      <c r="AB12" s="48">
        <f t="shared" si="0"/>
        <v>1186007.3102897711</v>
      </c>
      <c r="AC12" s="18">
        <v>7</v>
      </c>
    </row>
    <row r="13" spans="1:30" s="13" customFormat="1" x14ac:dyDescent="0.25">
      <c r="A13" s="18">
        <v>8</v>
      </c>
      <c r="B13" s="86" t="s">
        <v>139</v>
      </c>
      <c r="C13" s="85">
        <f>VLOOKUP(B13,'UOG List'!C:G,5,FALSE)</f>
        <v>82</v>
      </c>
      <c r="D13" s="29">
        <v>0</v>
      </c>
      <c r="E13" s="19">
        <v>0</v>
      </c>
      <c r="F13" s="29">
        <v>1855.0823</v>
      </c>
      <c r="G13" s="19">
        <v>59681.941299999999</v>
      </c>
      <c r="H13" s="29">
        <v>18063.499999356001</v>
      </c>
      <c r="I13" s="29">
        <v>1719.2607082479999</v>
      </c>
      <c r="J13" s="29">
        <v>20128.349421908999</v>
      </c>
      <c r="K13" s="29">
        <v>1128.2709475920001</v>
      </c>
      <c r="L13" s="19">
        <v>16843.201433030001</v>
      </c>
      <c r="M13" s="81">
        <v>5.6053823586941359E-2</v>
      </c>
      <c r="N13" s="55">
        <v>729226.19246260298</v>
      </c>
      <c r="O13" s="19">
        <v>0</v>
      </c>
      <c r="P13" s="19">
        <v>0</v>
      </c>
      <c r="Q13" s="19">
        <v>0</v>
      </c>
      <c r="R13" s="19">
        <v>0</v>
      </c>
      <c r="S13" s="78">
        <v>0</v>
      </c>
      <c r="T13" s="19">
        <v>0</v>
      </c>
      <c r="U13" s="19">
        <v>5.8307800170000004</v>
      </c>
      <c r="V13" s="19">
        <v>0</v>
      </c>
      <c r="W13" s="19">
        <v>-93.455887008999994</v>
      </c>
      <c r="X13" s="19">
        <v>0</v>
      </c>
      <c r="Y13" s="19">
        <v>0</v>
      </c>
      <c r="Z13" s="19">
        <v>0</v>
      </c>
      <c r="AA13" s="50">
        <v>-224.847193519</v>
      </c>
      <c r="AB13" s="48">
        <f t="shared" si="0"/>
        <v>729001.34526908398</v>
      </c>
      <c r="AC13" s="18">
        <v>8</v>
      </c>
    </row>
    <row r="14" spans="1:30" s="13" customFormat="1" x14ac:dyDescent="0.25">
      <c r="A14" s="18">
        <v>9</v>
      </c>
      <c r="B14" s="86" t="s">
        <v>140</v>
      </c>
      <c r="C14" s="85">
        <f>VLOOKUP(B14,'UOG List'!C:G,5,FALSE)</f>
        <v>82</v>
      </c>
      <c r="D14" s="29">
        <v>0</v>
      </c>
      <c r="E14" s="19">
        <v>0</v>
      </c>
      <c r="F14" s="29">
        <v>0</v>
      </c>
      <c r="G14" s="19">
        <v>0</v>
      </c>
      <c r="H14" s="29">
        <v>0</v>
      </c>
      <c r="I14" s="29">
        <v>0</v>
      </c>
      <c r="J14" s="29">
        <v>0</v>
      </c>
      <c r="K14" s="29">
        <v>0</v>
      </c>
      <c r="L14" s="19">
        <v>0</v>
      </c>
      <c r="M14" s="81">
        <v>0</v>
      </c>
      <c r="N14" s="55">
        <v>0</v>
      </c>
      <c r="O14" s="19">
        <v>0</v>
      </c>
      <c r="P14" s="19">
        <v>0</v>
      </c>
      <c r="Q14" s="19">
        <v>0</v>
      </c>
      <c r="R14" s="19">
        <v>0</v>
      </c>
      <c r="S14" s="78">
        <v>0</v>
      </c>
      <c r="T14" s="19">
        <v>0</v>
      </c>
      <c r="U14" s="19">
        <v>0</v>
      </c>
      <c r="V14" s="19">
        <v>0</v>
      </c>
      <c r="W14" s="19">
        <v>0</v>
      </c>
      <c r="X14" s="19">
        <v>0</v>
      </c>
      <c r="Y14" s="19">
        <v>0</v>
      </c>
      <c r="Z14" s="19">
        <v>0</v>
      </c>
      <c r="AA14" s="50">
        <v>0</v>
      </c>
      <c r="AB14" s="48">
        <f t="shared" si="0"/>
        <v>0</v>
      </c>
      <c r="AC14" s="18">
        <v>9</v>
      </c>
    </row>
    <row r="15" spans="1:30" s="13" customFormat="1" x14ac:dyDescent="0.25">
      <c r="A15" s="18">
        <v>10</v>
      </c>
      <c r="B15" s="86" t="s">
        <v>141</v>
      </c>
      <c r="C15" s="85">
        <f>VLOOKUP(B15,'UOG List'!C:G,5,FALSE)</f>
        <v>85</v>
      </c>
      <c r="D15" s="29">
        <v>-18.773599999999998</v>
      </c>
      <c r="E15" s="19">
        <v>-471.75310000000002</v>
      </c>
      <c r="F15" s="29">
        <v>118.96380000000001</v>
      </c>
      <c r="G15" s="19">
        <v>8946.7489000000005</v>
      </c>
      <c r="H15" s="29">
        <v>32096.479998671999</v>
      </c>
      <c r="I15" s="29">
        <v>-1219.8298874049999</v>
      </c>
      <c r="J15" s="29">
        <v>31075.784202158</v>
      </c>
      <c r="K15" s="29">
        <v>1549.4590749250001</v>
      </c>
      <c r="L15" s="19">
        <v>-4349.7672731310004</v>
      </c>
      <c r="M15" s="81">
        <v>4.9860658860457679E-2</v>
      </c>
      <c r="N15" s="55">
        <v>1438489.9613387799</v>
      </c>
      <c r="O15" s="19">
        <v>62519.285462300002</v>
      </c>
      <c r="P15" s="19">
        <v>0</v>
      </c>
      <c r="Q15" s="19">
        <v>32154.693981125001</v>
      </c>
      <c r="R15" s="19">
        <v>45425.971127750003</v>
      </c>
      <c r="S15" s="78">
        <v>3.6908078010556233E-2</v>
      </c>
      <c r="T15" s="19">
        <v>-5170.8199049559998</v>
      </c>
      <c r="U15" s="19">
        <v>-2007.86935068</v>
      </c>
      <c r="V15" s="19">
        <v>3922.7669222330001</v>
      </c>
      <c r="W15" s="19">
        <v>-83.144512121999995</v>
      </c>
      <c r="X15" s="19">
        <v>0</v>
      </c>
      <c r="Y15" s="19">
        <v>0</v>
      </c>
      <c r="Z15" s="19">
        <v>0</v>
      </c>
      <c r="AA15" s="50">
        <v>136740.309482813</v>
      </c>
      <c r="AB15" s="48">
        <f t="shared" si="0"/>
        <v>1575230.2708215928</v>
      </c>
      <c r="AC15" s="18">
        <v>10</v>
      </c>
    </row>
    <row r="16" spans="1:30" s="13" customFormat="1" x14ac:dyDescent="0.25">
      <c r="A16" s="18">
        <v>11</v>
      </c>
      <c r="B16" s="86" t="s">
        <v>142</v>
      </c>
      <c r="C16" s="85">
        <f>VLOOKUP(B16,'UOG List'!C:G,5,FALSE)</f>
        <v>84.1</v>
      </c>
      <c r="D16" s="29">
        <v>-7.6531000000000002</v>
      </c>
      <c r="E16" s="19">
        <v>-212.11</v>
      </c>
      <c r="F16" s="29">
        <v>237.07640000000001</v>
      </c>
      <c r="G16" s="19">
        <v>5822.3937999999998</v>
      </c>
      <c r="H16" s="29">
        <v>23447.099999064001</v>
      </c>
      <c r="I16" s="29">
        <v>-334.70932153199999</v>
      </c>
      <c r="J16" s="29">
        <v>22758.702711827998</v>
      </c>
      <c r="K16" s="29">
        <v>1317.686021403</v>
      </c>
      <c r="L16" s="19">
        <v>-27805.614199349999</v>
      </c>
      <c r="M16" s="81">
        <v>5.7898116517782941E-2</v>
      </c>
      <c r="N16" s="55">
        <v>1198210.1813310599</v>
      </c>
      <c r="O16" s="19">
        <v>70355.022043899997</v>
      </c>
      <c r="P16" s="19">
        <v>0</v>
      </c>
      <c r="Q16" s="19">
        <v>5672.6788108749997</v>
      </c>
      <c r="R16" s="19">
        <v>21827.287921300001</v>
      </c>
      <c r="S16" s="78">
        <v>1.6196282036920494E-2</v>
      </c>
      <c r="T16" s="19">
        <v>-1584.886996937</v>
      </c>
      <c r="U16" s="19">
        <v>-2867.4474403230001</v>
      </c>
      <c r="V16" s="19">
        <v>2579.3942577749999</v>
      </c>
      <c r="W16" s="19">
        <v>-120.792389516</v>
      </c>
      <c r="X16" s="19">
        <v>0</v>
      </c>
      <c r="Y16" s="19">
        <v>0</v>
      </c>
      <c r="Z16" s="19">
        <v>5476.178615238</v>
      </c>
      <c r="AA16" s="50">
        <v>101073.50128411299</v>
      </c>
      <c r="AB16" s="48">
        <f t="shared" si="0"/>
        <v>1299283.6826151728</v>
      </c>
      <c r="AC16" s="18">
        <v>11</v>
      </c>
    </row>
    <row r="17" spans="1:29" s="13" customFormat="1" x14ac:dyDescent="0.25">
      <c r="A17" s="18">
        <v>12</v>
      </c>
      <c r="B17" s="86" t="s">
        <v>143</v>
      </c>
      <c r="C17" s="85">
        <f>VLOOKUP(B17,'UOG List'!C:G,5,FALSE)</f>
        <v>39</v>
      </c>
      <c r="D17" s="29">
        <v>0</v>
      </c>
      <c r="E17" s="19">
        <v>0</v>
      </c>
      <c r="F17" s="29">
        <v>0</v>
      </c>
      <c r="G17" s="19">
        <v>0</v>
      </c>
      <c r="H17" s="29">
        <v>0</v>
      </c>
      <c r="I17" s="29">
        <v>0</v>
      </c>
      <c r="J17" s="29">
        <v>0</v>
      </c>
      <c r="K17" s="29">
        <v>0</v>
      </c>
      <c r="L17" s="19">
        <v>0</v>
      </c>
      <c r="M17" s="81">
        <v>0</v>
      </c>
      <c r="N17" s="55">
        <v>0</v>
      </c>
      <c r="O17" s="19">
        <v>0</v>
      </c>
      <c r="P17" s="19">
        <v>0</v>
      </c>
      <c r="Q17" s="19">
        <v>0</v>
      </c>
      <c r="R17" s="19">
        <v>0</v>
      </c>
      <c r="S17" s="78">
        <v>0</v>
      </c>
      <c r="T17" s="19">
        <v>0</v>
      </c>
      <c r="U17" s="19">
        <v>0</v>
      </c>
      <c r="V17" s="19">
        <v>0</v>
      </c>
      <c r="W17" s="19">
        <v>0</v>
      </c>
      <c r="X17" s="19">
        <v>0</v>
      </c>
      <c r="Y17" s="19">
        <v>0</v>
      </c>
      <c r="Z17" s="19">
        <v>-71555.400571685997</v>
      </c>
      <c r="AA17" s="50">
        <v>-71555.400571685997</v>
      </c>
      <c r="AB17" s="48">
        <f t="shared" si="0"/>
        <v>-71555.400571685997</v>
      </c>
      <c r="AC17" s="18">
        <v>12</v>
      </c>
    </row>
    <row r="18" spans="1:29" s="13" customFormat="1" x14ac:dyDescent="0.25">
      <c r="A18" s="18">
        <v>13</v>
      </c>
      <c r="B18" s="86" t="s">
        <v>144</v>
      </c>
      <c r="C18" s="85">
        <f>VLOOKUP(B18,'UOG List'!C:G,5,FALSE)</f>
        <v>40</v>
      </c>
      <c r="D18" s="29">
        <v>0</v>
      </c>
      <c r="E18" s="19">
        <v>0</v>
      </c>
      <c r="F18" s="29">
        <v>0</v>
      </c>
      <c r="G18" s="19">
        <v>0</v>
      </c>
      <c r="H18" s="29">
        <v>23735.999999807998</v>
      </c>
      <c r="I18" s="29">
        <v>-1.5518345710000001</v>
      </c>
      <c r="J18" s="29">
        <v>23423.198982513</v>
      </c>
      <c r="K18" s="29">
        <v>395.45265642099997</v>
      </c>
      <c r="L18" s="19">
        <v>-13128.969932575999</v>
      </c>
      <c r="M18" s="81">
        <v>1.6882948256394529E-2</v>
      </c>
      <c r="N18" s="55">
        <v>915418.09390440595</v>
      </c>
      <c r="O18" s="19">
        <v>0</v>
      </c>
      <c r="P18" s="19">
        <v>0</v>
      </c>
      <c r="Q18" s="19">
        <v>0</v>
      </c>
      <c r="R18" s="19">
        <v>0</v>
      </c>
      <c r="S18" s="78">
        <v>0</v>
      </c>
      <c r="T18" s="19">
        <v>0</v>
      </c>
      <c r="U18" s="19">
        <v>-0.38957750099999999</v>
      </c>
      <c r="V18" s="19">
        <v>0</v>
      </c>
      <c r="W18" s="19">
        <v>-109.69119669299999</v>
      </c>
      <c r="X18" s="19">
        <v>0</v>
      </c>
      <c r="Y18" s="19">
        <v>0</v>
      </c>
      <c r="Z18" s="19">
        <v>-20385.482839685999</v>
      </c>
      <c r="AA18" s="50">
        <v>-20608.647872927999</v>
      </c>
      <c r="AB18" s="48">
        <f t="shared" si="0"/>
        <v>894809.446031478</v>
      </c>
      <c r="AC18" s="18">
        <v>13</v>
      </c>
    </row>
    <row r="19" spans="1:29" s="13" customFormat="1" x14ac:dyDescent="0.25">
      <c r="A19" s="18">
        <v>14</v>
      </c>
      <c r="B19" s="86" t="s">
        <v>145</v>
      </c>
      <c r="C19" s="85">
        <f>VLOOKUP(B19,'UOG List'!C:G,5,FALSE)</f>
        <v>55.7</v>
      </c>
      <c r="D19" s="29">
        <v>0</v>
      </c>
      <c r="E19" s="19">
        <v>0</v>
      </c>
      <c r="F19" s="29">
        <v>0</v>
      </c>
      <c r="G19" s="19">
        <v>0</v>
      </c>
      <c r="H19" s="29">
        <v>19054.380000636</v>
      </c>
      <c r="I19" s="29">
        <v>-1068.5186029040001</v>
      </c>
      <c r="J19" s="29">
        <v>17913.378456143</v>
      </c>
      <c r="K19" s="29">
        <v>319.53191419500001</v>
      </c>
      <c r="L19" s="19">
        <v>-2865.3356042250002</v>
      </c>
      <c r="M19" s="81">
        <v>1.7837613098908404E-2</v>
      </c>
      <c r="N19" s="55">
        <v>831906.87958038202</v>
      </c>
      <c r="O19" s="19">
        <v>49293.050858199997</v>
      </c>
      <c r="P19" s="19">
        <v>1.8E-3</v>
      </c>
      <c r="Q19" s="19">
        <v>38165.212474325002</v>
      </c>
      <c r="R19" s="19">
        <v>36893.652032575003</v>
      </c>
      <c r="S19" s="78">
        <v>2.4453413979100468E-2</v>
      </c>
      <c r="T19" s="19">
        <v>-3040.8289095330001</v>
      </c>
      <c r="U19" s="19">
        <v>-1026.04838215</v>
      </c>
      <c r="V19" s="19">
        <v>2016.100779051</v>
      </c>
      <c r="W19" s="19">
        <v>-66.449940615000003</v>
      </c>
      <c r="X19" s="19">
        <v>0</v>
      </c>
      <c r="Y19" s="19">
        <v>0</v>
      </c>
      <c r="Z19" s="19">
        <v>-37974.906796128002</v>
      </c>
      <c r="AA19" s="50">
        <v>84559.894477526002</v>
      </c>
      <c r="AB19" s="48">
        <f t="shared" si="0"/>
        <v>916466.77405790798</v>
      </c>
      <c r="AC19" s="18">
        <v>14</v>
      </c>
    </row>
    <row r="20" spans="1:29" s="13" customFormat="1" x14ac:dyDescent="0.25">
      <c r="A20" s="18">
        <v>15</v>
      </c>
      <c r="B20" s="86" t="s">
        <v>146</v>
      </c>
      <c r="C20" s="85">
        <f>VLOOKUP(B20,'UOG List'!C:G,5,FALSE)</f>
        <v>54.6</v>
      </c>
      <c r="D20" s="29">
        <v>-182.76650000000001</v>
      </c>
      <c r="E20" s="19">
        <v>-4254.6274999999996</v>
      </c>
      <c r="F20" s="29">
        <v>193.28489999999999</v>
      </c>
      <c r="G20" s="19">
        <v>2504.8449000000001</v>
      </c>
      <c r="H20" s="29">
        <v>13766.77000122</v>
      </c>
      <c r="I20" s="29">
        <v>-705.03464897499998</v>
      </c>
      <c r="J20" s="29">
        <v>12587.523351881</v>
      </c>
      <c r="K20" s="29">
        <v>819.56002913999998</v>
      </c>
      <c r="L20" s="19">
        <v>-21237.177334395001</v>
      </c>
      <c r="M20" s="81">
        <v>6.5108918270052704E-2</v>
      </c>
      <c r="N20" s="55">
        <v>641269.94649308198</v>
      </c>
      <c r="O20" s="19">
        <v>84677.788354999997</v>
      </c>
      <c r="P20" s="19">
        <v>0</v>
      </c>
      <c r="Q20" s="19">
        <v>29020.079286675002</v>
      </c>
      <c r="R20" s="19">
        <v>19606.748342775001</v>
      </c>
      <c r="S20" s="78">
        <v>0.23258189108682212</v>
      </c>
      <c r="T20" s="19">
        <v>-31004.239676265999</v>
      </c>
      <c r="U20" s="19">
        <v>-1977.6279289839999</v>
      </c>
      <c r="V20" s="19">
        <v>2996.6720131050001</v>
      </c>
      <c r="W20" s="19">
        <v>-117.06643365399999</v>
      </c>
      <c r="X20" s="19">
        <v>0</v>
      </c>
      <c r="Y20" s="19">
        <v>0</v>
      </c>
      <c r="Z20" s="19">
        <v>-35412.621767147997</v>
      </c>
      <c r="AA20" s="50">
        <v>67886.474066726005</v>
      </c>
      <c r="AB20" s="48">
        <f t="shared" si="0"/>
        <v>709156.42055980803</v>
      </c>
      <c r="AC20" s="18">
        <v>15</v>
      </c>
    </row>
    <row r="21" spans="1:29" s="13" customFormat="1" x14ac:dyDescent="0.25">
      <c r="A21" s="18">
        <v>16</v>
      </c>
      <c r="B21" s="86" t="s">
        <v>147</v>
      </c>
      <c r="C21" s="85">
        <f>VLOOKUP(B21,'UOG List'!C:G,5,FALSE)</f>
        <v>13</v>
      </c>
      <c r="D21" s="29">
        <v>0</v>
      </c>
      <c r="E21" s="19">
        <v>0</v>
      </c>
      <c r="F21" s="29">
        <v>0</v>
      </c>
      <c r="G21" s="19">
        <v>0</v>
      </c>
      <c r="H21" s="29">
        <v>4397.0400008639999</v>
      </c>
      <c r="I21" s="29">
        <v>-73.093712232000001</v>
      </c>
      <c r="J21" s="29">
        <v>4189.0903999100001</v>
      </c>
      <c r="K21" s="29">
        <v>397.174856906</v>
      </c>
      <c r="L21" s="19">
        <v>-4621.8953215800002</v>
      </c>
      <c r="M21" s="81">
        <v>9.4811717816959268E-2</v>
      </c>
      <c r="N21" s="55">
        <v>163140.888730545</v>
      </c>
      <c r="O21" s="19">
        <v>0</v>
      </c>
      <c r="P21" s="19">
        <v>0</v>
      </c>
      <c r="Q21" s="19">
        <v>0</v>
      </c>
      <c r="R21" s="19">
        <v>0</v>
      </c>
      <c r="S21" s="78">
        <v>0</v>
      </c>
      <c r="T21" s="19">
        <v>0</v>
      </c>
      <c r="U21" s="19">
        <v>3.3112089139999998</v>
      </c>
      <c r="V21" s="19">
        <v>0</v>
      </c>
      <c r="W21" s="19">
        <v>-77.087247284</v>
      </c>
      <c r="X21" s="19">
        <v>0</v>
      </c>
      <c r="Y21" s="19">
        <v>0</v>
      </c>
      <c r="Z21" s="19">
        <v>-1039.7978641740001</v>
      </c>
      <c r="AA21" s="50">
        <v>-1194.7517822360001</v>
      </c>
      <c r="AB21" s="48">
        <f t="shared" si="0"/>
        <v>161946.13694830899</v>
      </c>
      <c r="AC21" s="18">
        <v>16</v>
      </c>
    </row>
    <row r="22" spans="1:29" s="13" customFormat="1" x14ac:dyDescent="0.25">
      <c r="A22" s="18">
        <v>17</v>
      </c>
      <c r="B22" s="86" t="s">
        <v>148</v>
      </c>
      <c r="C22" s="85">
        <f>VLOOKUP(B22,'UOG List'!C:G,5,FALSE)</f>
        <v>2</v>
      </c>
      <c r="D22" s="29">
        <v>0</v>
      </c>
      <c r="E22" s="19">
        <v>0</v>
      </c>
      <c r="F22" s="29">
        <v>0</v>
      </c>
      <c r="G22" s="19">
        <v>0</v>
      </c>
      <c r="H22" s="29">
        <v>288.00000172799997</v>
      </c>
      <c r="I22" s="29">
        <v>8.8152808329999992</v>
      </c>
      <c r="J22" s="29">
        <v>324.43033991800002</v>
      </c>
      <c r="K22" s="29">
        <v>44.697349187999997</v>
      </c>
      <c r="L22" s="19">
        <v>839.65948705200003</v>
      </c>
      <c r="M22" s="81">
        <v>0.13777179162496728</v>
      </c>
      <c r="N22" s="55">
        <v>13159.615354039999</v>
      </c>
      <c r="O22" s="19">
        <v>0</v>
      </c>
      <c r="P22" s="19">
        <v>0</v>
      </c>
      <c r="Q22" s="19">
        <v>0</v>
      </c>
      <c r="R22" s="19">
        <v>0</v>
      </c>
      <c r="S22" s="78">
        <v>0</v>
      </c>
      <c r="T22" s="19">
        <v>0</v>
      </c>
      <c r="U22" s="19">
        <v>-0.16781466</v>
      </c>
      <c r="V22" s="19">
        <v>0</v>
      </c>
      <c r="W22" s="19">
        <v>-2.5031139320000002</v>
      </c>
      <c r="X22" s="19">
        <v>0</v>
      </c>
      <c r="Y22" s="19">
        <v>0</v>
      </c>
      <c r="Z22" s="19">
        <v>0</v>
      </c>
      <c r="AA22" s="50">
        <v>-5.267709677</v>
      </c>
      <c r="AB22" s="48">
        <f t="shared" si="0"/>
        <v>13154.347644362999</v>
      </c>
      <c r="AC22" s="18">
        <v>17</v>
      </c>
    </row>
    <row r="23" spans="1:29" s="13" customFormat="1" x14ac:dyDescent="0.25">
      <c r="A23" s="18">
        <v>18</v>
      </c>
      <c r="B23" s="86" t="s">
        <v>149</v>
      </c>
      <c r="C23" s="85">
        <f>VLOOKUP(B23,'UOG List'!C:G,5,FALSE)</f>
        <v>8</v>
      </c>
      <c r="D23" s="29">
        <v>-7.6499999999999999E-2</v>
      </c>
      <c r="E23" s="19">
        <v>-1.556</v>
      </c>
      <c r="F23" s="29">
        <v>4.8800000000000003E-2</v>
      </c>
      <c r="G23" s="19">
        <v>3.0945999999999998</v>
      </c>
      <c r="H23" s="29">
        <v>588.719999616</v>
      </c>
      <c r="I23" s="29">
        <v>-50.900416522999997</v>
      </c>
      <c r="J23" s="29">
        <v>551.54143958999998</v>
      </c>
      <c r="K23" s="29">
        <v>13.910235939</v>
      </c>
      <c r="L23" s="19">
        <v>365.30982818899997</v>
      </c>
      <c r="M23" s="81">
        <v>2.5220654225619872E-2</v>
      </c>
      <c r="N23" s="55">
        <v>17336.787539698002</v>
      </c>
      <c r="O23" s="19">
        <v>0</v>
      </c>
      <c r="P23" s="19">
        <v>0</v>
      </c>
      <c r="Q23" s="19">
        <v>0</v>
      </c>
      <c r="R23" s="19">
        <v>0</v>
      </c>
      <c r="S23" s="78">
        <v>0</v>
      </c>
      <c r="T23" s="19">
        <v>0</v>
      </c>
      <c r="U23" s="19">
        <v>-7.4326159000000003E-2</v>
      </c>
      <c r="V23" s="19">
        <v>0</v>
      </c>
      <c r="W23" s="19">
        <v>-6.2874361000000004E-2</v>
      </c>
      <c r="X23" s="19">
        <v>0</v>
      </c>
      <c r="Y23" s="19">
        <v>0</v>
      </c>
      <c r="Z23" s="19">
        <v>0</v>
      </c>
      <c r="AA23" s="50">
        <v>-0.138220853</v>
      </c>
      <c r="AB23" s="48">
        <f t="shared" si="0"/>
        <v>17336.649318845</v>
      </c>
      <c r="AC23" s="18">
        <v>18</v>
      </c>
    </row>
    <row r="24" spans="1:29" s="13" customFormat="1" x14ac:dyDescent="0.25">
      <c r="A24" s="18">
        <v>19</v>
      </c>
      <c r="B24" s="86" t="s">
        <v>150</v>
      </c>
      <c r="C24" s="85">
        <f>VLOOKUP(B24,'UOG List'!C:G,5,FALSE)</f>
        <v>3.2</v>
      </c>
      <c r="D24" s="29">
        <v>-0.1077</v>
      </c>
      <c r="E24" s="19">
        <v>-3.9592999999999998</v>
      </c>
      <c r="F24" s="29">
        <v>0.12379999999999999</v>
      </c>
      <c r="G24" s="19">
        <v>72.386300000000006</v>
      </c>
      <c r="H24" s="29">
        <v>604.76999990399997</v>
      </c>
      <c r="I24" s="29">
        <v>0.35414166800000002</v>
      </c>
      <c r="J24" s="29">
        <v>231.39048775200001</v>
      </c>
      <c r="K24" s="29">
        <v>375.26080046700002</v>
      </c>
      <c r="L24" s="19">
        <v>-11976.063974912</v>
      </c>
      <c r="M24" s="81">
        <v>1.6217641620134251</v>
      </c>
      <c r="N24" s="55">
        <v>12780.097937312001</v>
      </c>
      <c r="O24" s="19">
        <v>0</v>
      </c>
      <c r="P24" s="19">
        <v>0</v>
      </c>
      <c r="Q24" s="19">
        <v>0</v>
      </c>
      <c r="R24" s="19">
        <v>0</v>
      </c>
      <c r="S24" s="78">
        <v>0</v>
      </c>
      <c r="T24" s="19">
        <v>0</v>
      </c>
      <c r="U24" s="19">
        <v>0</v>
      </c>
      <c r="V24" s="19">
        <v>0</v>
      </c>
      <c r="W24" s="19">
        <v>-61.204146813000001</v>
      </c>
      <c r="X24" s="19">
        <v>0</v>
      </c>
      <c r="Y24" s="19">
        <v>0</v>
      </c>
      <c r="Z24" s="19">
        <v>0</v>
      </c>
      <c r="AA24" s="50">
        <v>-221.83846625499999</v>
      </c>
      <c r="AB24" s="48">
        <f t="shared" si="0"/>
        <v>12558.259471057001</v>
      </c>
      <c r="AC24" s="18">
        <v>19</v>
      </c>
    </row>
    <row r="25" spans="1:29" s="13" customFormat="1" x14ac:dyDescent="0.25">
      <c r="A25" s="18">
        <v>20</v>
      </c>
      <c r="B25" s="86" t="s">
        <v>151</v>
      </c>
      <c r="C25" s="85">
        <f>VLOOKUP(B25,'UOG List'!C:G,5,FALSE)</f>
        <v>7.1</v>
      </c>
      <c r="D25" s="29">
        <v>-1.0699999999999999E-2</v>
      </c>
      <c r="E25" s="19">
        <v>-0.1978</v>
      </c>
      <c r="F25" s="29">
        <v>58.155200000000001</v>
      </c>
      <c r="G25" s="19">
        <v>2120.7817</v>
      </c>
      <c r="H25" s="29">
        <v>1926.240001632</v>
      </c>
      <c r="I25" s="29">
        <v>63.501275090999997</v>
      </c>
      <c r="J25" s="29">
        <v>1993.6466785810001</v>
      </c>
      <c r="K25" s="29">
        <v>126.782607171</v>
      </c>
      <c r="L25" s="19">
        <v>-112.867566004</v>
      </c>
      <c r="M25" s="81">
        <v>6.3593317980114167E-2</v>
      </c>
      <c r="N25" s="55">
        <v>80131.564760056994</v>
      </c>
      <c r="O25" s="19">
        <v>0</v>
      </c>
      <c r="P25" s="19">
        <v>0</v>
      </c>
      <c r="Q25" s="19">
        <v>0</v>
      </c>
      <c r="R25" s="19">
        <v>0</v>
      </c>
      <c r="S25" s="78">
        <v>0</v>
      </c>
      <c r="T25" s="19">
        <v>0</v>
      </c>
      <c r="U25" s="19">
        <v>1.555806765</v>
      </c>
      <c r="V25" s="19">
        <v>0</v>
      </c>
      <c r="W25" s="19">
        <v>-17.065791166</v>
      </c>
      <c r="X25" s="19">
        <v>0</v>
      </c>
      <c r="Y25" s="19">
        <v>0</v>
      </c>
      <c r="Z25" s="19">
        <v>0</v>
      </c>
      <c r="AA25" s="50">
        <v>-33.754066913999999</v>
      </c>
      <c r="AB25" s="48">
        <f t="shared" si="0"/>
        <v>80097.810693142994</v>
      </c>
      <c r="AC25" s="18">
        <v>20</v>
      </c>
    </row>
    <row r="26" spans="1:29" s="13" customFormat="1" x14ac:dyDescent="0.25">
      <c r="A26" s="18">
        <v>21</v>
      </c>
      <c r="B26" s="86" t="s">
        <v>152</v>
      </c>
      <c r="C26" s="85">
        <f>VLOOKUP(B26,'UOG List'!C:G,5,FALSE)</f>
        <v>9.1</v>
      </c>
      <c r="D26" s="29">
        <v>0</v>
      </c>
      <c r="E26" s="19">
        <v>0</v>
      </c>
      <c r="F26" s="29">
        <v>0</v>
      </c>
      <c r="G26" s="19">
        <v>0</v>
      </c>
      <c r="H26" s="29">
        <v>4038.2400015359999</v>
      </c>
      <c r="I26" s="29">
        <v>-74.074662669000006</v>
      </c>
      <c r="J26" s="29">
        <v>3904.6116626530002</v>
      </c>
      <c r="K26" s="29">
        <v>254.32065817700001</v>
      </c>
      <c r="L26" s="19">
        <v>-1930.4176816740001</v>
      </c>
      <c r="M26" s="81">
        <v>6.5133406379317388E-2</v>
      </c>
      <c r="N26" s="55">
        <v>149402.342928014</v>
      </c>
      <c r="O26" s="19">
        <v>0</v>
      </c>
      <c r="P26" s="19">
        <v>0</v>
      </c>
      <c r="Q26" s="19">
        <v>0</v>
      </c>
      <c r="R26" s="19">
        <v>0</v>
      </c>
      <c r="S26" s="78">
        <v>0</v>
      </c>
      <c r="T26" s="19">
        <v>0</v>
      </c>
      <c r="U26" s="19">
        <v>17.500165979999998</v>
      </c>
      <c r="V26" s="19">
        <v>0</v>
      </c>
      <c r="W26" s="19">
        <v>-43.474481875000002</v>
      </c>
      <c r="X26" s="19">
        <v>0</v>
      </c>
      <c r="Y26" s="19">
        <v>0</v>
      </c>
      <c r="Z26" s="19">
        <v>0</v>
      </c>
      <c r="AA26" s="50">
        <v>-74.764735967999997</v>
      </c>
      <c r="AB26" s="48">
        <f t="shared" si="0"/>
        <v>149327.578192046</v>
      </c>
      <c r="AC26" s="18">
        <v>21</v>
      </c>
    </row>
    <row r="27" spans="1:29" s="13" customFormat="1" x14ac:dyDescent="0.25">
      <c r="A27" s="18">
        <v>22</v>
      </c>
      <c r="B27" s="86" t="s">
        <v>153</v>
      </c>
      <c r="C27" s="85">
        <f>VLOOKUP(B27,'UOG List'!C:G,5,FALSE)</f>
        <v>1</v>
      </c>
      <c r="D27" s="29">
        <v>0</v>
      </c>
      <c r="E27" s="19">
        <v>0</v>
      </c>
      <c r="F27" s="29">
        <v>0</v>
      </c>
      <c r="G27" s="19">
        <v>0</v>
      </c>
      <c r="H27" s="29">
        <v>488.159998272</v>
      </c>
      <c r="I27" s="29">
        <v>-7.5421819110000001</v>
      </c>
      <c r="J27" s="29">
        <v>459.931682787</v>
      </c>
      <c r="K27" s="29">
        <v>32.030054210000003</v>
      </c>
      <c r="L27" s="19">
        <v>-680.58525377199999</v>
      </c>
      <c r="M27" s="81">
        <v>6.9640895395400526E-2</v>
      </c>
      <c r="N27" s="55">
        <v>17625.916430359001</v>
      </c>
      <c r="O27" s="19">
        <v>0</v>
      </c>
      <c r="P27" s="19">
        <v>0</v>
      </c>
      <c r="Q27" s="19">
        <v>0</v>
      </c>
      <c r="R27" s="19">
        <v>0</v>
      </c>
      <c r="S27" s="78">
        <v>0</v>
      </c>
      <c r="T27" s="19">
        <v>0</v>
      </c>
      <c r="U27" s="19">
        <v>0.304341786</v>
      </c>
      <c r="V27" s="19">
        <v>0</v>
      </c>
      <c r="W27" s="19">
        <v>-6.6590740449999997</v>
      </c>
      <c r="X27" s="19">
        <v>0</v>
      </c>
      <c r="Y27" s="19">
        <v>0</v>
      </c>
      <c r="Z27" s="19">
        <v>0</v>
      </c>
      <c r="AA27" s="50">
        <v>-15.100124936</v>
      </c>
      <c r="AB27" s="48">
        <f t="shared" si="0"/>
        <v>17610.816305422999</v>
      </c>
      <c r="AC27" s="18">
        <v>22</v>
      </c>
    </row>
    <row r="28" spans="1:29" s="17" customFormat="1" x14ac:dyDescent="0.25">
      <c r="A28" s="16">
        <v>23</v>
      </c>
      <c r="B28" s="101" t="s">
        <v>154</v>
      </c>
      <c r="C28" s="102"/>
      <c r="D28" s="30">
        <v>-565.85169999999994</v>
      </c>
      <c r="E28" s="20">
        <v>-15320.306599999998</v>
      </c>
      <c r="F28" s="30">
        <v>867.50969999999995</v>
      </c>
      <c r="G28" s="20">
        <v>39950.998299999985</v>
      </c>
      <c r="H28" s="30">
        <v>208554.99000124799</v>
      </c>
      <c r="I28" s="30">
        <v>-2221.7611602820007</v>
      </c>
      <c r="J28" s="30">
        <v>205381.08478124396</v>
      </c>
      <c r="K28" s="30">
        <v>7151.5130523189991</v>
      </c>
      <c r="L28" s="20">
        <v>-63806.793856588993</v>
      </c>
      <c r="M28" s="80">
        <v>3.4820699578718445E-2</v>
      </c>
      <c r="N28" s="53">
        <v>9003741.0380686689</v>
      </c>
      <c r="O28" s="20">
        <v>145991.3548685</v>
      </c>
      <c r="P28" s="20">
        <v>1.36</v>
      </c>
      <c r="Q28" s="20">
        <v>2220.5509084999999</v>
      </c>
      <c r="R28" s="20">
        <v>14496.419714600001</v>
      </c>
      <c r="S28" s="77">
        <v>0.19817123698304756</v>
      </c>
      <c r="T28" s="20">
        <v>-32244.379642992997</v>
      </c>
      <c r="U28" s="20">
        <v>-5229.7038943480002</v>
      </c>
      <c r="V28" s="20">
        <v>6614.9172363140005</v>
      </c>
      <c r="W28" s="20">
        <v>-1022.6451003150001</v>
      </c>
      <c r="X28" s="20">
        <v>0</v>
      </c>
      <c r="Y28" s="20">
        <v>0</v>
      </c>
      <c r="Z28" s="20">
        <v>-121375.260226914</v>
      </c>
      <c r="AA28" s="52">
        <v>8057.5854731790077</v>
      </c>
      <c r="AB28" s="49">
        <f t="shared" si="0"/>
        <v>9011798.6235418487</v>
      </c>
      <c r="AC28" s="16">
        <v>23</v>
      </c>
    </row>
    <row r="29" spans="1:29" s="13" customFormat="1" x14ac:dyDescent="0.25">
      <c r="A29" s="18">
        <v>24</v>
      </c>
      <c r="B29" s="86" t="s">
        <v>155</v>
      </c>
      <c r="C29" s="85">
        <f>VLOOKUP(B29,'UOG List'!C:G,5,FALSE)</f>
        <v>4.9000000000000004</v>
      </c>
      <c r="D29" s="29">
        <v>-1.9532</v>
      </c>
      <c r="E29" s="19">
        <v>-68.741900000000001</v>
      </c>
      <c r="F29" s="29">
        <v>173.40360000000001</v>
      </c>
      <c r="G29" s="19">
        <v>6927.7359999999999</v>
      </c>
      <c r="H29" s="29">
        <v>312.63999966</v>
      </c>
      <c r="I29" s="29">
        <v>126.519166633</v>
      </c>
      <c r="J29" s="29">
        <v>594.24118954200003</v>
      </c>
      <c r="K29" s="29">
        <v>205.020712143</v>
      </c>
      <c r="L29" s="19">
        <v>7944.7711157439999</v>
      </c>
      <c r="M29" s="81">
        <v>0.34501262408453337</v>
      </c>
      <c r="N29" s="55">
        <v>23934.820318534999</v>
      </c>
      <c r="O29" s="19">
        <v>0</v>
      </c>
      <c r="P29" s="19">
        <v>0</v>
      </c>
      <c r="Q29" s="19">
        <v>0</v>
      </c>
      <c r="R29" s="19">
        <v>0</v>
      </c>
      <c r="S29" s="78">
        <v>0</v>
      </c>
      <c r="T29" s="19">
        <v>0</v>
      </c>
      <c r="U29" s="19">
        <v>0</v>
      </c>
      <c r="V29" s="19">
        <v>0</v>
      </c>
      <c r="W29" s="19">
        <v>-9.9908055820000001</v>
      </c>
      <c r="X29" s="19">
        <v>0</v>
      </c>
      <c r="Y29" s="19">
        <v>0</v>
      </c>
      <c r="Z29" s="19">
        <v>-1473.835724562</v>
      </c>
      <c r="AA29" s="50">
        <v>-1487.3930126610001</v>
      </c>
      <c r="AB29" s="48">
        <f t="shared" si="0"/>
        <v>22447.427305874</v>
      </c>
      <c r="AC29" s="18">
        <v>24</v>
      </c>
    </row>
    <row r="30" spans="1:29" s="13" customFormat="1" x14ac:dyDescent="0.25">
      <c r="A30" s="18">
        <v>25</v>
      </c>
      <c r="B30" s="86" t="s">
        <v>156</v>
      </c>
      <c r="C30" s="85">
        <f>VLOOKUP(B30,'UOG List'!C:G,5,FALSE)</f>
        <v>41</v>
      </c>
      <c r="D30" s="29">
        <v>-239.23349999999999</v>
      </c>
      <c r="E30" s="19">
        <v>-5841.0430999999999</v>
      </c>
      <c r="F30" s="29">
        <v>92.510199999999998</v>
      </c>
      <c r="G30" s="19">
        <v>1634.7339999999999</v>
      </c>
      <c r="H30" s="29">
        <v>10987.580000051999</v>
      </c>
      <c r="I30" s="29">
        <v>-324.35535932400001</v>
      </c>
      <c r="J30" s="29">
        <v>10601.51247206</v>
      </c>
      <c r="K30" s="29">
        <v>978.54867368199996</v>
      </c>
      <c r="L30" s="19">
        <v>-6205.9547360850001</v>
      </c>
      <c r="M30" s="81">
        <v>9.2302742298416243E-2</v>
      </c>
      <c r="N30" s="55">
        <v>490252.30956645001</v>
      </c>
      <c r="O30" s="19">
        <v>108647.30378640001</v>
      </c>
      <c r="P30" s="19">
        <v>0</v>
      </c>
      <c r="Q30" s="19">
        <v>0</v>
      </c>
      <c r="R30" s="19">
        <v>0</v>
      </c>
      <c r="S30" s="78">
        <v>0.23772253015252481</v>
      </c>
      <c r="T30" s="19">
        <v>-25827.911950352998</v>
      </c>
      <c r="U30" s="19">
        <v>-600.24566654700004</v>
      </c>
      <c r="V30" s="19">
        <v>613.283478059</v>
      </c>
      <c r="W30" s="19">
        <v>-126.699022254</v>
      </c>
      <c r="X30" s="19">
        <v>0</v>
      </c>
      <c r="Y30" s="19">
        <v>0</v>
      </c>
      <c r="Z30" s="19">
        <v>-30147.3773592</v>
      </c>
      <c r="AA30" s="50">
        <v>52351.187309296998</v>
      </c>
      <c r="AB30" s="48">
        <f t="shared" si="0"/>
        <v>542603.49687574699</v>
      </c>
      <c r="AC30" s="18">
        <v>25</v>
      </c>
    </row>
    <row r="31" spans="1:29" s="13" customFormat="1" x14ac:dyDescent="0.25">
      <c r="A31" s="18">
        <v>26</v>
      </c>
      <c r="B31" s="86" t="s">
        <v>157</v>
      </c>
      <c r="C31" s="85">
        <f>VLOOKUP(B31,'UOG List'!C:G,5,FALSE)</f>
        <v>24</v>
      </c>
      <c r="D31" s="29">
        <v>-148.03880000000001</v>
      </c>
      <c r="E31" s="19">
        <v>-4298.009</v>
      </c>
      <c r="F31" s="29">
        <v>7.7047999999999996</v>
      </c>
      <c r="G31" s="19">
        <v>-169.49270000000001</v>
      </c>
      <c r="H31" s="29">
        <v>1834.0000000560001</v>
      </c>
      <c r="I31" s="29">
        <v>-323.39104314899998</v>
      </c>
      <c r="J31" s="29">
        <v>1472.9705009710001</v>
      </c>
      <c r="K31" s="29">
        <v>389.60937497100002</v>
      </c>
      <c r="L31" s="19">
        <v>-791.849429966</v>
      </c>
      <c r="M31" s="81">
        <v>0.26450589113235112</v>
      </c>
      <c r="N31" s="55">
        <v>115040.220606121</v>
      </c>
      <c r="O31" s="19">
        <v>0</v>
      </c>
      <c r="P31" s="19">
        <v>0</v>
      </c>
      <c r="Q31" s="19">
        <v>0</v>
      </c>
      <c r="R31" s="19">
        <v>0</v>
      </c>
      <c r="S31" s="78">
        <v>0</v>
      </c>
      <c r="T31" s="19">
        <v>0</v>
      </c>
      <c r="U31" s="19">
        <v>236.901285027</v>
      </c>
      <c r="V31" s="19">
        <v>0</v>
      </c>
      <c r="W31" s="19">
        <v>-77.924251995999995</v>
      </c>
      <c r="X31" s="19">
        <v>0</v>
      </c>
      <c r="Y31" s="19">
        <v>0</v>
      </c>
      <c r="Z31" s="19">
        <v>-8326.7416214759996</v>
      </c>
      <c r="AA31" s="50">
        <v>-8223.9285905420002</v>
      </c>
      <c r="AB31" s="48">
        <f t="shared" si="0"/>
        <v>106816.29201557901</v>
      </c>
      <c r="AC31" s="18">
        <v>26</v>
      </c>
    </row>
    <row r="32" spans="1:29" s="13" customFormat="1" x14ac:dyDescent="0.25">
      <c r="A32" s="18">
        <v>27</v>
      </c>
      <c r="B32" s="86" t="s">
        <v>158</v>
      </c>
      <c r="C32" s="85">
        <f>VLOOKUP(B32,'UOG List'!C:G,5,FALSE)</f>
        <v>49</v>
      </c>
      <c r="D32" s="29">
        <v>-7.4928999999999997</v>
      </c>
      <c r="E32" s="19">
        <v>-215.17599999999999</v>
      </c>
      <c r="F32" s="29">
        <v>2.8529</v>
      </c>
      <c r="G32" s="19">
        <v>81.406400000000005</v>
      </c>
      <c r="H32" s="29">
        <v>9248.4999991080003</v>
      </c>
      <c r="I32" s="29">
        <v>121.498195653</v>
      </c>
      <c r="J32" s="29">
        <v>9418.4053799520007</v>
      </c>
      <c r="K32" s="29">
        <v>814.56913615099995</v>
      </c>
      <c r="L32" s="19">
        <v>-1239.9025866740001</v>
      </c>
      <c r="M32" s="81">
        <v>8.6486947980057238E-2</v>
      </c>
      <c r="N32" s="55">
        <v>445982.272772661</v>
      </c>
      <c r="O32" s="19">
        <v>0</v>
      </c>
      <c r="P32" s="19">
        <v>0</v>
      </c>
      <c r="Q32" s="19">
        <v>0</v>
      </c>
      <c r="R32" s="19">
        <v>0</v>
      </c>
      <c r="S32" s="78">
        <v>0</v>
      </c>
      <c r="T32" s="19">
        <v>0</v>
      </c>
      <c r="U32" s="19">
        <v>-537.78249882</v>
      </c>
      <c r="V32" s="19">
        <v>0</v>
      </c>
      <c r="W32" s="19">
        <v>-38.291816804</v>
      </c>
      <c r="X32" s="19">
        <v>0</v>
      </c>
      <c r="Y32" s="19">
        <v>0</v>
      </c>
      <c r="Z32" s="19">
        <v>-7031.1429133920001</v>
      </c>
      <c r="AA32" s="50">
        <v>-7819.3338722589997</v>
      </c>
      <c r="AB32" s="48">
        <f t="shared" si="0"/>
        <v>438162.93890040199</v>
      </c>
      <c r="AC32" s="18">
        <v>27</v>
      </c>
    </row>
    <row r="33" spans="1:29" s="13" customFormat="1" x14ac:dyDescent="0.25">
      <c r="A33" s="18">
        <v>28</v>
      </c>
      <c r="B33" s="86" t="s">
        <v>159</v>
      </c>
      <c r="C33" s="85">
        <f>VLOOKUP(B33,'UOG List'!C:G,5,FALSE)</f>
        <v>122</v>
      </c>
      <c r="D33" s="29">
        <v>-2.5907</v>
      </c>
      <c r="E33" s="19">
        <v>-72.408199999999994</v>
      </c>
      <c r="F33" s="29">
        <v>3.6179000000000001</v>
      </c>
      <c r="G33" s="19">
        <v>124.8079</v>
      </c>
      <c r="H33" s="29">
        <v>63045.399999816</v>
      </c>
      <c r="I33" s="29">
        <v>-116.66145876900001</v>
      </c>
      <c r="J33" s="29">
        <v>62971.899986933</v>
      </c>
      <c r="K33" s="29">
        <v>1083.9683026360001</v>
      </c>
      <c r="L33" s="19">
        <v>-2832.9250350259999</v>
      </c>
      <c r="M33" s="81">
        <v>1.7213523855258126E-2</v>
      </c>
      <c r="N33" s="55">
        <v>2550286.8541328101</v>
      </c>
      <c r="O33" s="19">
        <v>0</v>
      </c>
      <c r="P33" s="19">
        <v>0</v>
      </c>
      <c r="Q33" s="19">
        <v>0</v>
      </c>
      <c r="R33" s="19">
        <v>0</v>
      </c>
      <c r="S33" s="78">
        <v>0</v>
      </c>
      <c r="T33" s="19">
        <v>0</v>
      </c>
      <c r="U33" s="19">
        <v>-2108.2391589469999</v>
      </c>
      <c r="V33" s="19">
        <v>0</v>
      </c>
      <c r="W33" s="19">
        <v>-180.61224175000001</v>
      </c>
      <c r="X33" s="19">
        <v>0</v>
      </c>
      <c r="Y33" s="19">
        <v>0</v>
      </c>
      <c r="Z33" s="19">
        <v>-26984.084203181999</v>
      </c>
      <c r="AA33" s="50">
        <v>-29412.593619055999</v>
      </c>
      <c r="AB33" s="48">
        <f t="shared" si="0"/>
        <v>2520874.2605137541</v>
      </c>
      <c r="AC33" s="18">
        <v>28</v>
      </c>
    </row>
    <row r="34" spans="1:29" s="13" customFormat="1" x14ac:dyDescent="0.25">
      <c r="A34" s="18">
        <v>29</v>
      </c>
      <c r="B34" s="86" t="s">
        <v>160</v>
      </c>
      <c r="C34" s="85">
        <f>VLOOKUP(B34,'UOG List'!C:G,5,FALSE)</f>
        <v>1.3</v>
      </c>
      <c r="D34" s="29">
        <v>-3.8982000000000001</v>
      </c>
      <c r="E34" s="19">
        <v>-144.6045</v>
      </c>
      <c r="F34" s="29">
        <v>0</v>
      </c>
      <c r="G34" s="19">
        <v>0</v>
      </c>
      <c r="H34" s="29">
        <v>0</v>
      </c>
      <c r="I34" s="29">
        <v>0</v>
      </c>
      <c r="J34" s="29">
        <v>-3.8982000000000001</v>
      </c>
      <c r="K34" s="29">
        <v>3.8982000000000001</v>
      </c>
      <c r="L34" s="19">
        <v>-144.60451764699999</v>
      </c>
      <c r="M34" s="81">
        <v>-1</v>
      </c>
      <c r="N34" s="55">
        <v>-144.60451764699999</v>
      </c>
      <c r="O34" s="19">
        <v>0</v>
      </c>
      <c r="P34" s="19">
        <v>0</v>
      </c>
      <c r="Q34" s="19">
        <v>0</v>
      </c>
      <c r="R34" s="19">
        <v>0</v>
      </c>
      <c r="S34" s="78">
        <v>0</v>
      </c>
      <c r="T34" s="19">
        <v>0</v>
      </c>
      <c r="U34" s="19">
        <v>0</v>
      </c>
      <c r="V34" s="19">
        <v>0</v>
      </c>
      <c r="W34" s="19">
        <v>-0.90519848700000005</v>
      </c>
      <c r="X34" s="19">
        <v>0</v>
      </c>
      <c r="Y34" s="19">
        <v>0</v>
      </c>
      <c r="Z34" s="19">
        <v>0</v>
      </c>
      <c r="AA34" s="50">
        <v>-2.3078830410000002</v>
      </c>
      <c r="AB34" s="48">
        <f t="shared" si="0"/>
        <v>-146.91240068799999</v>
      </c>
      <c r="AC34" s="18">
        <v>29</v>
      </c>
    </row>
    <row r="35" spans="1:29" s="13" customFormat="1" x14ac:dyDescent="0.25">
      <c r="A35" s="18">
        <v>30</v>
      </c>
      <c r="B35" s="86" t="s">
        <v>161</v>
      </c>
      <c r="C35" s="85">
        <f>VLOOKUP(B35,'UOG List'!C:G,5,FALSE)</f>
        <v>119</v>
      </c>
      <c r="D35" s="29">
        <v>-0.37519999999999998</v>
      </c>
      <c r="E35" s="19">
        <v>-12.441800000000001</v>
      </c>
      <c r="F35" s="29">
        <v>382.49889999999999</v>
      </c>
      <c r="G35" s="19">
        <v>10255.1536</v>
      </c>
      <c r="H35" s="29">
        <v>49695.500000220003</v>
      </c>
      <c r="I35" s="29">
        <v>-205.516547245</v>
      </c>
      <c r="J35" s="29">
        <v>49424.590026414997</v>
      </c>
      <c r="K35" s="29">
        <v>896.20514729399997</v>
      </c>
      <c r="L35" s="19">
        <v>-6132.3575825859998</v>
      </c>
      <c r="M35" s="81">
        <v>1.8132778578740311E-2</v>
      </c>
      <c r="N35" s="55">
        <v>2039195.27254295</v>
      </c>
      <c r="O35" s="19">
        <v>0</v>
      </c>
      <c r="P35" s="19">
        <v>0</v>
      </c>
      <c r="Q35" s="19">
        <v>0</v>
      </c>
      <c r="R35" s="19">
        <v>0</v>
      </c>
      <c r="S35" s="78">
        <v>0</v>
      </c>
      <c r="T35" s="19">
        <v>0</v>
      </c>
      <c r="U35" s="19">
        <v>-1165.71078893</v>
      </c>
      <c r="V35" s="19">
        <v>0</v>
      </c>
      <c r="W35" s="19">
        <v>-48.630081013000002</v>
      </c>
      <c r="X35" s="19">
        <v>0</v>
      </c>
      <c r="Y35" s="19">
        <v>0</v>
      </c>
      <c r="Z35" s="19">
        <v>-19875.779013089999</v>
      </c>
      <c r="AA35" s="50">
        <v>-21326.424666628001</v>
      </c>
      <c r="AB35" s="48">
        <f t="shared" si="0"/>
        <v>2017868.847876322</v>
      </c>
      <c r="AC35" s="18">
        <v>30</v>
      </c>
    </row>
    <row r="36" spans="1:29" s="13" customFormat="1" x14ac:dyDescent="0.25">
      <c r="A36" s="18">
        <v>31</v>
      </c>
      <c r="B36" s="86" t="s">
        <v>162</v>
      </c>
      <c r="C36" s="85">
        <f>VLOOKUP(B36,'UOG List'!C:G,5,FALSE)</f>
        <v>57</v>
      </c>
      <c r="D36" s="29">
        <v>0</v>
      </c>
      <c r="E36" s="19">
        <v>0</v>
      </c>
      <c r="F36" s="29">
        <v>0</v>
      </c>
      <c r="G36" s="19">
        <v>0</v>
      </c>
      <c r="H36" s="29">
        <v>0</v>
      </c>
      <c r="I36" s="29">
        <v>0</v>
      </c>
      <c r="J36" s="29">
        <v>0</v>
      </c>
      <c r="K36" s="29">
        <v>0</v>
      </c>
      <c r="L36" s="19">
        <v>0</v>
      </c>
      <c r="M36" s="81">
        <v>0</v>
      </c>
      <c r="N36" s="55">
        <v>0</v>
      </c>
      <c r="O36" s="19">
        <v>0</v>
      </c>
      <c r="P36" s="19">
        <v>0</v>
      </c>
      <c r="Q36" s="19">
        <v>0</v>
      </c>
      <c r="R36" s="19">
        <v>0</v>
      </c>
      <c r="S36" s="78">
        <v>0</v>
      </c>
      <c r="T36" s="19">
        <v>0</v>
      </c>
      <c r="U36" s="19">
        <v>0</v>
      </c>
      <c r="V36" s="19">
        <v>0</v>
      </c>
      <c r="W36" s="19">
        <v>0</v>
      </c>
      <c r="X36" s="19">
        <v>0</v>
      </c>
      <c r="Y36" s="19">
        <v>0</v>
      </c>
      <c r="Z36" s="19">
        <v>0</v>
      </c>
      <c r="AA36" s="50">
        <v>0</v>
      </c>
      <c r="AB36" s="48">
        <f t="shared" si="0"/>
        <v>0</v>
      </c>
      <c r="AC36" s="18">
        <v>31</v>
      </c>
    </row>
    <row r="37" spans="1:29" s="13" customFormat="1" x14ac:dyDescent="0.25">
      <c r="A37" s="18">
        <v>32</v>
      </c>
      <c r="B37" s="86" t="s">
        <v>163</v>
      </c>
      <c r="C37" s="85">
        <f>VLOOKUP(B37,'UOG List'!C:G,5,FALSE)</f>
        <v>56.9</v>
      </c>
      <c r="D37" s="29">
        <v>0</v>
      </c>
      <c r="E37" s="19">
        <v>0</v>
      </c>
      <c r="F37" s="29">
        <v>0</v>
      </c>
      <c r="G37" s="19">
        <v>0</v>
      </c>
      <c r="H37" s="29">
        <v>0</v>
      </c>
      <c r="I37" s="29">
        <v>0</v>
      </c>
      <c r="J37" s="29">
        <v>0</v>
      </c>
      <c r="K37" s="29">
        <v>0</v>
      </c>
      <c r="L37" s="19">
        <v>0</v>
      </c>
      <c r="M37" s="81">
        <v>0</v>
      </c>
      <c r="N37" s="55">
        <v>0</v>
      </c>
      <c r="O37" s="19">
        <v>0</v>
      </c>
      <c r="P37" s="19">
        <v>0</v>
      </c>
      <c r="Q37" s="19">
        <v>0</v>
      </c>
      <c r="R37" s="19">
        <v>0</v>
      </c>
      <c r="S37" s="78">
        <v>0</v>
      </c>
      <c r="T37" s="19">
        <v>0</v>
      </c>
      <c r="U37" s="19">
        <v>0</v>
      </c>
      <c r="V37" s="19">
        <v>0</v>
      </c>
      <c r="W37" s="19">
        <v>0</v>
      </c>
      <c r="X37" s="19">
        <v>0</v>
      </c>
      <c r="Y37" s="19">
        <v>0</v>
      </c>
      <c r="Z37" s="19">
        <v>0</v>
      </c>
      <c r="AA37" s="50">
        <v>0</v>
      </c>
      <c r="AB37" s="48">
        <f t="shared" si="0"/>
        <v>0</v>
      </c>
      <c r="AC37" s="18">
        <v>32</v>
      </c>
    </row>
    <row r="38" spans="1:29" s="13" customFormat="1" x14ac:dyDescent="0.25">
      <c r="A38" s="18">
        <v>33</v>
      </c>
      <c r="B38" s="86" t="s">
        <v>164</v>
      </c>
      <c r="C38" s="85">
        <f>VLOOKUP(B38,'UOG List'!C:G,5,FALSE)</f>
        <v>59</v>
      </c>
      <c r="D38" s="29">
        <v>-153.48849999999999</v>
      </c>
      <c r="E38" s="19">
        <v>-4263.1545999999998</v>
      </c>
      <c r="F38" s="29">
        <v>190.1962</v>
      </c>
      <c r="G38" s="19">
        <v>20380.875199999999</v>
      </c>
      <c r="H38" s="29">
        <v>10725.469999512001</v>
      </c>
      <c r="I38" s="29">
        <v>-381.08048157500002</v>
      </c>
      <c r="J38" s="29">
        <v>10157.152339622</v>
      </c>
      <c r="K38" s="29">
        <v>633.20122577200004</v>
      </c>
      <c r="L38" s="19">
        <v>-9003.5070470610008</v>
      </c>
      <c r="M38" s="81">
        <v>6.2340428163309869E-2</v>
      </c>
      <c r="N38" s="55">
        <v>654972.02753050602</v>
      </c>
      <c r="O38" s="19">
        <v>37344.051082099999</v>
      </c>
      <c r="P38" s="19">
        <v>1.36</v>
      </c>
      <c r="Q38" s="19">
        <v>2220.5509084999999</v>
      </c>
      <c r="R38" s="19">
        <v>14496.419714600001</v>
      </c>
      <c r="S38" s="78">
        <v>0.11868636730857957</v>
      </c>
      <c r="T38" s="19">
        <v>-6416.4676926399998</v>
      </c>
      <c r="U38" s="19">
        <v>952.40317114599998</v>
      </c>
      <c r="V38" s="19">
        <v>6001.6337582550004</v>
      </c>
      <c r="W38" s="19">
        <v>-148.94228927200001</v>
      </c>
      <c r="X38" s="19">
        <v>0</v>
      </c>
      <c r="Y38" s="19">
        <v>0</v>
      </c>
      <c r="Z38" s="19">
        <v>0</v>
      </c>
      <c r="AA38" s="50">
        <v>54395.324390884001</v>
      </c>
      <c r="AB38" s="48">
        <f t="shared" si="0"/>
        <v>709367.35192139004</v>
      </c>
      <c r="AC38" s="18">
        <v>33</v>
      </c>
    </row>
    <row r="39" spans="1:29" s="13" customFormat="1" x14ac:dyDescent="0.25">
      <c r="A39" s="18">
        <v>34</v>
      </c>
      <c r="B39" s="86" t="s">
        <v>165</v>
      </c>
      <c r="C39" s="85">
        <f>VLOOKUP(B39,'UOG List'!C:G,5,FALSE)</f>
        <v>70.400000000000006</v>
      </c>
      <c r="D39" s="29">
        <v>-1.0414000000000001</v>
      </c>
      <c r="E39" s="19">
        <v>-42.107999999999997</v>
      </c>
      <c r="F39" s="29">
        <v>3.8307000000000002</v>
      </c>
      <c r="G39" s="19">
        <v>96.064599999999999</v>
      </c>
      <c r="H39" s="29">
        <v>21726.500001492001</v>
      </c>
      <c r="I39" s="29">
        <v>-433.26306896</v>
      </c>
      <c r="J39" s="29">
        <v>21246.344391815001</v>
      </c>
      <c r="K39" s="29">
        <v>366.76106441000002</v>
      </c>
      <c r="L39" s="19">
        <v>-4369.688655125</v>
      </c>
      <c r="M39" s="81">
        <v>1.7262313819561923E-2</v>
      </c>
      <c r="N39" s="55">
        <v>907991.46013022296</v>
      </c>
      <c r="O39" s="19">
        <v>0</v>
      </c>
      <c r="P39" s="19">
        <v>0</v>
      </c>
      <c r="Q39" s="19">
        <v>0</v>
      </c>
      <c r="R39" s="19">
        <v>0</v>
      </c>
      <c r="S39" s="78">
        <v>0</v>
      </c>
      <c r="T39" s="19">
        <v>0</v>
      </c>
      <c r="U39" s="19">
        <v>-390.32372277000002</v>
      </c>
      <c r="V39" s="19">
        <v>0</v>
      </c>
      <c r="W39" s="19">
        <v>-45.460271149999997</v>
      </c>
      <c r="X39" s="19">
        <v>0</v>
      </c>
      <c r="Y39" s="19">
        <v>0</v>
      </c>
      <c r="Z39" s="19">
        <v>-8560.3263688259995</v>
      </c>
      <c r="AA39" s="50">
        <v>-9066.7329672119995</v>
      </c>
      <c r="AB39" s="48">
        <f t="shared" si="0"/>
        <v>898924.72716301098</v>
      </c>
      <c r="AC39" s="18">
        <v>34</v>
      </c>
    </row>
    <row r="40" spans="1:29" s="13" customFormat="1" x14ac:dyDescent="0.25">
      <c r="A40" s="18">
        <v>35</v>
      </c>
      <c r="B40" s="86" t="s">
        <v>166</v>
      </c>
      <c r="C40" s="85">
        <f>VLOOKUP(B40,'UOG List'!C:G,5,FALSE)</f>
        <v>69</v>
      </c>
      <c r="D40" s="29">
        <v>-0.91869999999999996</v>
      </c>
      <c r="E40" s="19">
        <v>-23.606300000000001</v>
      </c>
      <c r="F40" s="29">
        <v>1.0864</v>
      </c>
      <c r="G40" s="19">
        <v>29.938700000000001</v>
      </c>
      <c r="H40" s="29">
        <v>17539.500001008</v>
      </c>
      <c r="I40" s="29">
        <v>-429.53896329200001</v>
      </c>
      <c r="J40" s="29">
        <v>16892.709106742001</v>
      </c>
      <c r="K40" s="29">
        <v>681.03643219399999</v>
      </c>
      <c r="L40" s="19">
        <v>-12082.893471261999</v>
      </c>
      <c r="M40" s="81">
        <v>4.031540636203778E-2</v>
      </c>
      <c r="N40" s="55">
        <v>802360.34280026902</v>
      </c>
      <c r="O40" s="19">
        <v>0</v>
      </c>
      <c r="P40" s="19">
        <v>0</v>
      </c>
      <c r="Q40" s="19">
        <v>0</v>
      </c>
      <c r="R40" s="19">
        <v>0</v>
      </c>
      <c r="S40" s="78">
        <v>0</v>
      </c>
      <c r="T40" s="19">
        <v>0</v>
      </c>
      <c r="U40" s="19">
        <v>-997.68198527699997</v>
      </c>
      <c r="V40" s="19">
        <v>0</v>
      </c>
      <c r="W40" s="19">
        <v>-145.29997951000001</v>
      </c>
      <c r="X40" s="19">
        <v>0</v>
      </c>
      <c r="Y40" s="19">
        <v>0</v>
      </c>
      <c r="Z40" s="19">
        <v>-8525.7115008660003</v>
      </c>
      <c r="AA40" s="50">
        <v>-9784.4952164349997</v>
      </c>
      <c r="AB40" s="48">
        <f t="shared" si="0"/>
        <v>792575.84758383397</v>
      </c>
      <c r="AC40" s="18">
        <v>35</v>
      </c>
    </row>
    <row r="41" spans="1:29" s="13" customFormat="1" x14ac:dyDescent="0.25">
      <c r="A41" s="18">
        <v>36</v>
      </c>
      <c r="B41" s="86" t="s">
        <v>167</v>
      </c>
      <c r="C41" s="85">
        <f>VLOOKUP(B41,'UOG List'!C:G,5,FALSE)</f>
        <v>60</v>
      </c>
      <c r="D41" s="29">
        <v>-0.57920000000000005</v>
      </c>
      <c r="E41" s="19">
        <v>-15.5814</v>
      </c>
      <c r="F41" s="29">
        <v>-1.145</v>
      </c>
      <c r="G41" s="19">
        <v>-41.314100000000003</v>
      </c>
      <c r="H41" s="29">
        <v>21857.000001516</v>
      </c>
      <c r="I41" s="29">
        <v>-106.98082013699999</v>
      </c>
      <c r="J41" s="29">
        <v>21402.650881004</v>
      </c>
      <c r="K41" s="29">
        <v>707.45388467700002</v>
      </c>
      <c r="L41" s="19">
        <v>-14691.453713514</v>
      </c>
      <c r="M41" s="81">
        <v>3.3054498183909702E-2</v>
      </c>
      <c r="N41" s="55">
        <v>921965.52842598595</v>
      </c>
      <c r="O41" s="19">
        <v>0</v>
      </c>
      <c r="P41" s="19">
        <v>0</v>
      </c>
      <c r="Q41" s="19">
        <v>0</v>
      </c>
      <c r="R41" s="19">
        <v>0</v>
      </c>
      <c r="S41" s="78">
        <v>0</v>
      </c>
      <c r="T41" s="19">
        <v>0</v>
      </c>
      <c r="U41" s="19">
        <v>-619.130166175</v>
      </c>
      <c r="V41" s="19">
        <v>0</v>
      </c>
      <c r="W41" s="19">
        <v>-181.12829314699999</v>
      </c>
      <c r="X41" s="19">
        <v>0</v>
      </c>
      <c r="Y41" s="19">
        <v>0</v>
      </c>
      <c r="Z41" s="19">
        <v>-10450.261522319999</v>
      </c>
      <c r="AA41" s="50">
        <v>-11380.814637408001</v>
      </c>
      <c r="AB41" s="48">
        <f t="shared" si="0"/>
        <v>910584.71378857794</v>
      </c>
      <c r="AC41" s="18">
        <v>36</v>
      </c>
    </row>
    <row r="42" spans="1:29" s="13" customFormat="1" x14ac:dyDescent="0.25">
      <c r="A42" s="18">
        <v>37</v>
      </c>
      <c r="B42" s="86" t="s">
        <v>168</v>
      </c>
      <c r="C42" s="85">
        <f>VLOOKUP(B42,'UOG List'!C:G,5,FALSE)</f>
        <v>10.1</v>
      </c>
      <c r="D42" s="29">
        <v>-2.6141999999999999</v>
      </c>
      <c r="E42" s="19">
        <v>-190.76480000000001</v>
      </c>
      <c r="F42" s="29">
        <v>6.2138999999999998</v>
      </c>
      <c r="G42" s="19">
        <v>408.62099999999998</v>
      </c>
      <c r="H42" s="29">
        <v>1042.77999948</v>
      </c>
      <c r="I42" s="29">
        <v>-138.19798857800001</v>
      </c>
      <c r="J42" s="29">
        <v>642.69973660100004</v>
      </c>
      <c r="K42" s="29">
        <v>302.88651224699998</v>
      </c>
      <c r="L42" s="19">
        <v>-15128.467783571999</v>
      </c>
      <c r="M42" s="81">
        <v>0.4712721897924747</v>
      </c>
      <c r="N42" s="55">
        <v>29879.050869581999</v>
      </c>
      <c r="O42" s="19">
        <v>0</v>
      </c>
      <c r="P42" s="19">
        <v>0</v>
      </c>
      <c r="Q42" s="19">
        <v>0</v>
      </c>
      <c r="R42" s="19">
        <v>0</v>
      </c>
      <c r="S42" s="78">
        <v>0</v>
      </c>
      <c r="T42" s="19">
        <v>0</v>
      </c>
      <c r="U42" s="19">
        <v>-7.5927963000000001E-2</v>
      </c>
      <c r="V42" s="19">
        <v>0</v>
      </c>
      <c r="W42" s="19">
        <v>-8.0136645360000003</v>
      </c>
      <c r="X42" s="19">
        <v>0</v>
      </c>
      <c r="Y42" s="19">
        <v>0</v>
      </c>
      <c r="Z42" s="19">
        <v>0</v>
      </c>
      <c r="AA42" s="50">
        <v>-167.77616050099999</v>
      </c>
      <c r="AB42" s="48">
        <f t="shared" si="0"/>
        <v>29711.274709081001</v>
      </c>
      <c r="AC42" s="18">
        <v>37</v>
      </c>
    </row>
    <row r="43" spans="1:29" s="13" customFormat="1" x14ac:dyDescent="0.25">
      <c r="A43" s="18">
        <v>38</v>
      </c>
      <c r="B43" s="86" t="s">
        <v>169</v>
      </c>
      <c r="C43" s="85">
        <f>VLOOKUP(B43,'UOG List'!C:G,5,FALSE)</f>
        <v>1.5</v>
      </c>
      <c r="D43" s="29">
        <v>-3.6272000000000002</v>
      </c>
      <c r="E43" s="19">
        <v>-132.667</v>
      </c>
      <c r="F43" s="29">
        <v>0</v>
      </c>
      <c r="G43" s="19">
        <v>0</v>
      </c>
      <c r="H43" s="29">
        <v>0</v>
      </c>
      <c r="I43" s="29">
        <v>0</v>
      </c>
      <c r="J43" s="29">
        <v>-3.6272250000000001</v>
      </c>
      <c r="K43" s="29">
        <v>3.6272250000000001</v>
      </c>
      <c r="L43" s="19">
        <v>-132.66696414800001</v>
      </c>
      <c r="M43" s="81">
        <v>-1</v>
      </c>
      <c r="N43" s="55">
        <v>-132.66696414800001</v>
      </c>
      <c r="O43" s="19">
        <v>0</v>
      </c>
      <c r="P43" s="19">
        <v>0</v>
      </c>
      <c r="Q43" s="19">
        <v>0</v>
      </c>
      <c r="R43" s="19">
        <v>0</v>
      </c>
      <c r="S43" s="78">
        <v>0</v>
      </c>
      <c r="T43" s="19">
        <v>0</v>
      </c>
      <c r="U43" s="19">
        <v>0</v>
      </c>
      <c r="V43" s="19">
        <v>0</v>
      </c>
      <c r="W43" s="19">
        <v>-0.78173357899999996</v>
      </c>
      <c r="X43" s="19">
        <v>0</v>
      </c>
      <c r="Y43" s="19">
        <v>0</v>
      </c>
      <c r="Z43" s="19">
        <v>0</v>
      </c>
      <c r="AA43" s="50">
        <v>-2.1324844619999999</v>
      </c>
      <c r="AB43" s="48">
        <f t="shared" si="0"/>
        <v>-134.79944861000001</v>
      </c>
      <c r="AC43" s="18">
        <v>38</v>
      </c>
    </row>
    <row r="44" spans="1:29" s="13" customFormat="1" x14ac:dyDescent="0.25">
      <c r="A44" s="18">
        <v>39</v>
      </c>
      <c r="B44" s="86" t="s">
        <v>170</v>
      </c>
      <c r="C44" s="85">
        <f>VLOOKUP(B44,'UOG List'!C:G,5,FALSE)</f>
        <v>18.5</v>
      </c>
      <c r="D44" s="29">
        <v>0</v>
      </c>
      <c r="E44" s="19">
        <v>0</v>
      </c>
      <c r="F44" s="29">
        <v>0</v>
      </c>
      <c r="G44" s="19">
        <v>0</v>
      </c>
      <c r="H44" s="29">
        <v>0</v>
      </c>
      <c r="I44" s="29">
        <v>0</v>
      </c>
      <c r="J44" s="29">
        <v>0</v>
      </c>
      <c r="K44" s="29">
        <v>0</v>
      </c>
      <c r="L44" s="19">
        <v>0</v>
      </c>
      <c r="M44" s="81">
        <v>0</v>
      </c>
      <c r="N44" s="55">
        <v>0</v>
      </c>
      <c r="O44" s="19">
        <v>0</v>
      </c>
      <c r="P44" s="19">
        <v>0</v>
      </c>
      <c r="Q44" s="19">
        <v>0</v>
      </c>
      <c r="R44" s="19">
        <v>0</v>
      </c>
      <c r="S44" s="78">
        <v>0</v>
      </c>
      <c r="T44" s="19">
        <v>0</v>
      </c>
      <c r="U44" s="19">
        <v>0</v>
      </c>
      <c r="V44" s="19">
        <v>0</v>
      </c>
      <c r="W44" s="19">
        <v>0</v>
      </c>
      <c r="X44" s="19">
        <v>0</v>
      </c>
      <c r="Y44" s="19">
        <v>0</v>
      </c>
      <c r="Z44" s="19">
        <v>0</v>
      </c>
      <c r="AA44" s="50">
        <v>0</v>
      </c>
      <c r="AB44" s="48">
        <f t="shared" si="0"/>
        <v>0</v>
      </c>
      <c r="AC44" s="18">
        <v>39</v>
      </c>
    </row>
    <row r="45" spans="1:29" s="13" customFormat="1" x14ac:dyDescent="0.25">
      <c r="A45" s="18">
        <v>40</v>
      </c>
      <c r="B45" s="86" t="s">
        <v>171</v>
      </c>
      <c r="C45" s="85">
        <f>VLOOKUP(B45,'UOG List'!C:G,5,FALSE)</f>
        <v>6.4</v>
      </c>
      <c r="D45" s="29">
        <v>0</v>
      </c>
      <c r="E45" s="19">
        <v>0</v>
      </c>
      <c r="F45" s="29">
        <v>0</v>
      </c>
      <c r="G45" s="19">
        <v>0</v>
      </c>
      <c r="H45" s="29">
        <v>0</v>
      </c>
      <c r="I45" s="29">
        <v>0</v>
      </c>
      <c r="J45" s="29">
        <v>0</v>
      </c>
      <c r="K45" s="29">
        <v>0</v>
      </c>
      <c r="L45" s="19">
        <v>0</v>
      </c>
      <c r="M45" s="81">
        <v>0</v>
      </c>
      <c r="N45" s="55">
        <v>0</v>
      </c>
      <c r="O45" s="19">
        <v>0</v>
      </c>
      <c r="P45" s="19">
        <v>0</v>
      </c>
      <c r="Q45" s="19">
        <v>0</v>
      </c>
      <c r="R45" s="19">
        <v>0</v>
      </c>
      <c r="S45" s="78">
        <v>0</v>
      </c>
      <c r="T45" s="19">
        <v>0</v>
      </c>
      <c r="U45" s="19">
        <v>0</v>
      </c>
      <c r="V45" s="19">
        <v>0</v>
      </c>
      <c r="W45" s="19">
        <v>0</v>
      </c>
      <c r="X45" s="19">
        <v>0</v>
      </c>
      <c r="Y45" s="19">
        <v>0</v>
      </c>
      <c r="Z45" s="19">
        <v>0</v>
      </c>
      <c r="AA45" s="50">
        <v>0</v>
      </c>
      <c r="AB45" s="48">
        <f t="shared" si="0"/>
        <v>0</v>
      </c>
      <c r="AC45" s="18">
        <v>40</v>
      </c>
    </row>
    <row r="46" spans="1:29" s="13" customFormat="1" x14ac:dyDescent="0.25">
      <c r="A46" s="18">
        <v>41</v>
      </c>
      <c r="B46" s="86" t="s">
        <v>172</v>
      </c>
      <c r="C46" s="85">
        <f>VLOOKUP(B46,'UOG List'!C:G,5,FALSE)</f>
        <v>2</v>
      </c>
      <c r="D46" s="29">
        <v>0</v>
      </c>
      <c r="E46" s="19">
        <v>0</v>
      </c>
      <c r="F46" s="29">
        <v>4.7392000000000003</v>
      </c>
      <c r="G46" s="19">
        <v>222.46770000000001</v>
      </c>
      <c r="H46" s="29">
        <v>540.11999932799995</v>
      </c>
      <c r="I46" s="29">
        <v>-10.792791539</v>
      </c>
      <c r="J46" s="29">
        <v>563.43419458699998</v>
      </c>
      <c r="K46" s="29">
        <v>84.727161142</v>
      </c>
      <c r="L46" s="19">
        <v>1004.706550333</v>
      </c>
      <c r="M46" s="81">
        <v>0.15037632070610379</v>
      </c>
      <c r="N46" s="55">
        <v>22158.14985437</v>
      </c>
      <c r="O46" s="19">
        <v>0</v>
      </c>
      <c r="P46" s="19">
        <v>0</v>
      </c>
      <c r="Q46" s="19">
        <v>0</v>
      </c>
      <c r="R46" s="19">
        <v>0</v>
      </c>
      <c r="S46" s="78">
        <v>0</v>
      </c>
      <c r="T46" s="19">
        <v>0</v>
      </c>
      <c r="U46" s="19">
        <v>0.181564908</v>
      </c>
      <c r="V46" s="19">
        <v>0</v>
      </c>
      <c r="W46" s="19">
        <v>-9.9654512349999997</v>
      </c>
      <c r="X46" s="19">
        <v>0</v>
      </c>
      <c r="Y46" s="19">
        <v>0</v>
      </c>
      <c r="Z46" s="19">
        <v>0</v>
      </c>
      <c r="AA46" s="50">
        <v>-14.993116797000001</v>
      </c>
      <c r="AB46" s="48">
        <f t="shared" si="0"/>
        <v>22143.156737573001</v>
      </c>
      <c r="AC46" s="18">
        <v>41</v>
      </c>
    </row>
    <row r="47" spans="1:29" s="17" customFormat="1" x14ac:dyDescent="0.25">
      <c r="A47" s="16">
        <v>42</v>
      </c>
      <c r="B47" s="101" t="s">
        <v>173</v>
      </c>
      <c r="C47" s="102"/>
      <c r="D47" s="30">
        <v>-602.02680000000021</v>
      </c>
      <c r="E47" s="20">
        <v>-18815.503000000001</v>
      </c>
      <c r="F47" s="30">
        <v>2058.2876999999999</v>
      </c>
      <c r="G47" s="20">
        <v>79096.094599999997</v>
      </c>
      <c r="H47" s="30">
        <v>122551.92000827999</v>
      </c>
      <c r="I47" s="30">
        <v>-2145.405969465</v>
      </c>
      <c r="J47" s="30">
        <v>120704.00446870099</v>
      </c>
      <c r="K47" s="30">
        <v>7126.5725189710001</v>
      </c>
      <c r="L47" s="20">
        <v>24420.021473013996</v>
      </c>
      <c r="M47" s="80">
        <v>5.9041724011890152E-2</v>
      </c>
      <c r="N47" s="53">
        <v>5699765.5294313561</v>
      </c>
      <c r="O47" s="20">
        <v>2856.7053592500001</v>
      </c>
      <c r="P47" s="20">
        <v>8.6253750000000004E-2</v>
      </c>
      <c r="Q47" s="20">
        <v>20126.086255800001</v>
      </c>
      <c r="R47" s="20">
        <v>18846.521808649999</v>
      </c>
      <c r="S47" s="77">
        <v>7.7610809464787128E-2</v>
      </c>
      <c r="T47" s="20">
        <v>-3246.4135683929999</v>
      </c>
      <c r="U47" s="20">
        <v>-7573.4337162490001</v>
      </c>
      <c r="V47" s="20">
        <v>3220.4715248970001</v>
      </c>
      <c r="W47" s="20">
        <v>-986.9473139820002</v>
      </c>
      <c r="X47" s="20">
        <v>0</v>
      </c>
      <c r="Y47" s="20">
        <v>0</v>
      </c>
      <c r="Z47" s="20">
        <v>-150983.60327299201</v>
      </c>
      <c r="AA47" s="52">
        <v>-118146.51498020699</v>
      </c>
      <c r="AB47" s="49">
        <f t="shared" si="0"/>
        <v>5581619.0144511489</v>
      </c>
      <c r="AC47" s="16">
        <v>42</v>
      </c>
    </row>
    <row r="48" spans="1:29" s="13" customFormat="1" x14ac:dyDescent="0.25">
      <c r="A48" s="18">
        <v>43</v>
      </c>
      <c r="B48" s="86" t="s">
        <v>174</v>
      </c>
      <c r="C48" s="85">
        <f>VLOOKUP(B48,'UOG List'!C:G,5,FALSE)</f>
        <v>12</v>
      </c>
      <c r="D48" s="29">
        <v>-14.7288</v>
      </c>
      <c r="E48" s="19">
        <v>-544.49090000000001</v>
      </c>
      <c r="F48" s="29">
        <v>0</v>
      </c>
      <c r="G48" s="19">
        <v>0</v>
      </c>
      <c r="H48" s="29">
        <v>0</v>
      </c>
      <c r="I48" s="29">
        <v>0</v>
      </c>
      <c r="J48" s="29">
        <v>-14.72875</v>
      </c>
      <c r="K48" s="29">
        <v>14.72875</v>
      </c>
      <c r="L48" s="19">
        <v>-544.49091832099998</v>
      </c>
      <c r="M48" s="81">
        <v>-1</v>
      </c>
      <c r="N48" s="55">
        <v>-544.49091832099998</v>
      </c>
      <c r="O48" s="19">
        <v>0</v>
      </c>
      <c r="P48" s="19">
        <v>0</v>
      </c>
      <c r="Q48" s="19">
        <v>0</v>
      </c>
      <c r="R48" s="19">
        <v>0</v>
      </c>
      <c r="S48" s="78">
        <v>0</v>
      </c>
      <c r="T48" s="19">
        <v>0</v>
      </c>
      <c r="U48" s="19">
        <v>0</v>
      </c>
      <c r="V48" s="19">
        <v>0</v>
      </c>
      <c r="W48" s="19">
        <v>-3.671978915</v>
      </c>
      <c r="X48" s="19">
        <v>0</v>
      </c>
      <c r="Y48" s="19">
        <v>0</v>
      </c>
      <c r="Z48" s="19">
        <v>0</v>
      </c>
      <c r="AA48" s="50">
        <v>-8.8055647459999999</v>
      </c>
      <c r="AB48" s="48">
        <f t="shared" si="0"/>
        <v>-553.29648306699994</v>
      </c>
      <c r="AC48" s="18">
        <v>43</v>
      </c>
    </row>
    <row r="49" spans="1:29" s="13" customFormat="1" x14ac:dyDescent="0.25">
      <c r="A49" s="18">
        <v>44</v>
      </c>
      <c r="B49" s="86" t="s">
        <v>175</v>
      </c>
      <c r="C49" s="85">
        <f>VLOOKUP(B49,'UOG List'!C:G,5,FALSE)</f>
        <v>11.4</v>
      </c>
      <c r="D49" s="29">
        <v>0</v>
      </c>
      <c r="E49" s="19">
        <v>0</v>
      </c>
      <c r="F49" s="29">
        <v>0</v>
      </c>
      <c r="G49" s="19">
        <v>0</v>
      </c>
      <c r="H49" s="29">
        <v>1958.200000068</v>
      </c>
      <c r="I49" s="29">
        <v>147.115666683</v>
      </c>
      <c r="J49" s="29">
        <v>2033.7138804409999</v>
      </c>
      <c r="K49" s="29">
        <v>309.73733875400001</v>
      </c>
      <c r="L49" s="19">
        <v>-3259.3898497579999</v>
      </c>
      <c r="M49" s="81">
        <v>0.15230133487943504</v>
      </c>
      <c r="N49" s="55">
        <v>77763.155476658998</v>
      </c>
      <c r="O49" s="19">
        <v>0</v>
      </c>
      <c r="P49" s="19">
        <v>0</v>
      </c>
      <c r="Q49" s="19">
        <v>0</v>
      </c>
      <c r="R49" s="19">
        <v>0</v>
      </c>
      <c r="S49" s="78">
        <v>0</v>
      </c>
      <c r="T49" s="19">
        <v>0</v>
      </c>
      <c r="U49" s="19">
        <v>0.98152724999999996</v>
      </c>
      <c r="V49" s="19">
        <v>0</v>
      </c>
      <c r="W49" s="19">
        <v>-57.160760355000001</v>
      </c>
      <c r="X49" s="19">
        <v>0</v>
      </c>
      <c r="Y49" s="19">
        <v>0</v>
      </c>
      <c r="Z49" s="19">
        <v>0</v>
      </c>
      <c r="AA49" s="50">
        <v>-111.550908932</v>
      </c>
      <c r="AB49" s="48">
        <f t="shared" si="0"/>
        <v>77651.604567727001</v>
      </c>
      <c r="AC49" s="18">
        <v>44</v>
      </c>
    </row>
    <row r="50" spans="1:29" s="17" customFormat="1" x14ac:dyDescent="0.25">
      <c r="A50" s="18">
        <v>45</v>
      </c>
      <c r="B50" s="86" t="s">
        <v>176</v>
      </c>
      <c r="C50" s="85">
        <f>VLOOKUP(B50,'UOG List'!C:G,5,FALSE)</f>
        <v>6.5</v>
      </c>
      <c r="D50" s="29">
        <v>-4.4000000000000003E-3</v>
      </c>
      <c r="E50" s="19">
        <v>-0.12130000000000001</v>
      </c>
      <c r="F50" s="29">
        <v>87.550799999999995</v>
      </c>
      <c r="G50" s="19">
        <v>3151.6655000000001</v>
      </c>
      <c r="H50" s="29">
        <v>3489.4400016</v>
      </c>
      <c r="I50" s="29">
        <v>12.863209796</v>
      </c>
      <c r="J50" s="29">
        <v>3593.9060440080002</v>
      </c>
      <c r="K50" s="29">
        <v>270.55644866599999</v>
      </c>
      <c r="L50" s="19">
        <v>4975.7781990940002</v>
      </c>
      <c r="M50" s="81">
        <v>7.5282003856803587E-2</v>
      </c>
      <c r="N50" s="55">
        <v>141675.16323250101</v>
      </c>
      <c r="O50" s="19">
        <v>0</v>
      </c>
      <c r="P50" s="19">
        <v>0</v>
      </c>
      <c r="Q50" s="19">
        <v>0</v>
      </c>
      <c r="R50" s="19">
        <v>0</v>
      </c>
      <c r="S50" s="78">
        <v>0</v>
      </c>
      <c r="T50" s="19">
        <v>0</v>
      </c>
      <c r="U50" s="19">
        <v>-0.87554843900000001</v>
      </c>
      <c r="V50" s="19">
        <v>0</v>
      </c>
      <c r="W50" s="19">
        <v>3.1357292750000001</v>
      </c>
      <c r="X50" s="19">
        <v>0</v>
      </c>
      <c r="Y50" s="19">
        <v>0</v>
      </c>
      <c r="Z50" s="19">
        <v>0</v>
      </c>
      <c r="AA50" s="50">
        <v>-43.487972800999998</v>
      </c>
      <c r="AB50" s="48">
        <f t="shared" si="0"/>
        <v>141631.67525970002</v>
      </c>
      <c r="AC50" s="18">
        <v>45</v>
      </c>
    </row>
    <row r="51" spans="1:29" s="17" customFormat="1" x14ac:dyDescent="0.25">
      <c r="A51" s="18">
        <v>46</v>
      </c>
      <c r="B51" s="86" t="s">
        <v>177</v>
      </c>
      <c r="C51" s="85">
        <f>VLOOKUP(B51,'UOG List'!C:G,5,FALSE)</f>
        <v>7</v>
      </c>
      <c r="D51" s="29">
        <v>0</v>
      </c>
      <c r="E51" s="19">
        <v>0</v>
      </c>
      <c r="F51" s="29">
        <v>0</v>
      </c>
      <c r="G51" s="19">
        <v>0</v>
      </c>
      <c r="H51" s="29">
        <v>2309.7600011519999</v>
      </c>
      <c r="I51" s="29">
        <v>-78.545774953999995</v>
      </c>
      <c r="J51" s="29">
        <v>2039.9929044339999</v>
      </c>
      <c r="K51" s="29">
        <v>405.12632367600003</v>
      </c>
      <c r="L51" s="19">
        <v>-6346.8193912300003</v>
      </c>
      <c r="M51" s="81">
        <v>0.19859202588177782</v>
      </c>
      <c r="N51" s="55">
        <v>77586.132577889002</v>
      </c>
      <c r="O51" s="19">
        <v>0</v>
      </c>
      <c r="P51" s="19">
        <v>0</v>
      </c>
      <c r="Q51" s="19">
        <v>0</v>
      </c>
      <c r="R51" s="19">
        <v>0</v>
      </c>
      <c r="S51" s="78">
        <v>0</v>
      </c>
      <c r="T51" s="19">
        <v>0</v>
      </c>
      <c r="U51" s="19">
        <v>0.456844847</v>
      </c>
      <c r="V51" s="19">
        <v>0</v>
      </c>
      <c r="W51" s="19">
        <v>-87.480631162999998</v>
      </c>
      <c r="X51" s="19">
        <v>0</v>
      </c>
      <c r="Y51" s="19">
        <v>0</v>
      </c>
      <c r="Z51" s="19">
        <v>-693.19857485399996</v>
      </c>
      <c r="AA51" s="50">
        <v>-870.86991743399994</v>
      </c>
      <c r="AB51" s="48">
        <f t="shared" si="0"/>
        <v>76715.262660455002</v>
      </c>
      <c r="AC51" s="18">
        <v>46</v>
      </c>
    </row>
    <row r="52" spans="1:29" s="17" customFormat="1" x14ac:dyDescent="0.25">
      <c r="A52" s="18">
        <v>47</v>
      </c>
      <c r="B52" s="86" t="s">
        <v>178</v>
      </c>
      <c r="C52" s="85">
        <f>VLOOKUP(B52,'UOG List'!C:G,5,FALSE)</f>
        <v>26</v>
      </c>
      <c r="D52" s="29">
        <v>-95.665899999999993</v>
      </c>
      <c r="E52" s="19">
        <v>-2855.2532000000001</v>
      </c>
      <c r="F52" s="29">
        <v>289.08969999999999</v>
      </c>
      <c r="G52" s="19">
        <v>14924.812</v>
      </c>
      <c r="H52" s="29">
        <v>4972.4999991960003</v>
      </c>
      <c r="I52" s="29">
        <v>-107.354384504</v>
      </c>
      <c r="J52" s="29">
        <v>4929.7464362580004</v>
      </c>
      <c r="K52" s="29">
        <v>412.100552397</v>
      </c>
      <c r="L52" s="19">
        <v>8704.1854272210003</v>
      </c>
      <c r="M52" s="81">
        <v>8.3594675248614053E-2</v>
      </c>
      <c r="N52" s="55">
        <v>277999.23639626498</v>
      </c>
      <c r="O52" s="19">
        <v>0</v>
      </c>
      <c r="P52" s="19">
        <v>0</v>
      </c>
      <c r="Q52" s="19">
        <v>0</v>
      </c>
      <c r="R52" s="19">
        <v>0</v>
      </c>
      <c r="S52" s="78">
        <v>0</v>
      </c>
      <c r="T52" s="19">
        <v>0</v>
      </c>
      <c r="U52" s="19">
        <v>-424.90618164599999</v>
      </c>
      <c r="V52" s="19">
        <v>0</v>
      </c>
      <c r="W52" s="19">
        <v>-28.810531317999999</v>
      </c>
      <c r="X52" s="19">
        <v>0</v>
      </c>
      <c r="Y52" s="19">
        <v>0</v>
      </c>
      <c r="Z52" s="19">
        <v>-13645.387275474</v>
      </c>
      <c r="AA52" s="50">
        <v>-14155.977646064001</v>
      </c>
      <c r="AB52" s="48">
        <f t="shared" si="0"/>
        <v>263843.25875020097</v>
      </c>
      <c r="AC52" s="18">
        <v>47</v>
      </c>
    </row>
    <row r="53" spans="1:29" s="17" customFormat="1" x14ac:dyDescent="0.25">
      <c r="A53" s="18">
        <v>48</v>
      </c>
      <c r="B53" s="86" t="s">
        <v>179</v>
      </c>
      <c r="C53" s="85">
        <f>VLOOKUP(B53,'UOG List'!C:G,5,FALSE)</f>
        <v>28.9</v>
      </c>
      <c r="D53" s="29">
        <v>-154.715</v>
      </c>
      <c r="E53" s="19">
        <v>-4598.1352999999999</v>
      </c>
      <c r="F53" s="29">
        <v>339.25400000000002</v>
      </c>
      <c r="G53" s="19">
        <v>16013.263499999999</v>
      </c>
      <c r="H53" s="29">
        <v>5736.1999993079999</v>
      </c>
      <c r="I53" s="29">
        <v>43.126745122999999</v>
      </c>
      <c r="J53" s="29">
        <v>5676.4897773169996</v>
      </c>
      <c r="K53" s="29">
        <v>579.59430844999997</v>
      </c>
      <c r="L53" s="19">
        <v>-39.939572998999999</v>
      </c>
      <c r="M53" s="81">
        <v>0.10210435166571302</v>
      </c>
      <c r="N53" s="55">
        <v>315339.70209113898</v>
      </c>
      <c r="O53" s="19">
        <v>0</v>
      </c>
      <c r="P53" s="19">
        <v>0</v>
      </c>
      <c r="Q53" s="19">
        <v>0</v>
      </c>
      <c r="R53" s="19">
        <v>0</v>
      </c>
      <c r="S53" s="78">
        <v>0</v>
      </c>
      <c r="T53" s="19">
        <v>0</v>
      </c>
      <c r="U53" s="19">
        <v>-126.77185994200001</v>
      </c>
      <c r="V53" s="19">
        <v>0</v>
      </c>
      <c r="W53" s="19">
        <v>-54.033761918000003</v>
      </c>
      <c r="X53" s="19">
        <v>0</v>
      </c>
      <c r="Y53" s="19">
        <v>0</v>
      </c>
      <c r="Z53" s="19">
        <v>-14408.434400376</v>
      </c>
      <c r="AA53" s="50">
        <v>-14728.248426439999</v>
      </c>
      <c r="AB53" s="48">
        <f t="shared" si="0"/>
        <v>300611.45366469899</v>
      </c>
      <c r="AC53" s="18">
        <v>48</v>
      </c>
    </row>
    <row r="54" spans="1:29" s="17" customFormat="1" x14ac:dyDescent="0.25">
      <c r="A54" s="18">
        <v>49</v>
      </c>
      <c r="B54" s="86" t="s">
        <v>180</v>
      </c>
      <c r="C54" s="85">
        <f>VLOOKUP(B54,'UOG List'!C:G,5,FALSE)</f>
        <v>50</v>
      </c>
      <c r="D54" s="29">
        <v>-12.050700000000001</v>
      </c>
      <c r="E54" s="19">
        <v>-321.21109999999999</v>
      </c>
      <c r="F54" s="29">
        <v>54.7684</v>
      </c>
      <c r="G54" s="19">
        <v>1694.1577</v>
      </c>
      <c r="H54" s="29">
        <v>9324.1000006680006</v>
      </c>
      <c r="I54" s="29">
        <v>-258.04694644599999</v>
      </c>
      <c r="J54" s="29">
        <v>9350.7985919900002</v>
      </c>
      <c r="K54" s="29">
        <v>536.63804070100002</v>
      </c>
      <c r="L54" s="19">
        <v>11960.870299833001</v>
      </c>
      <c r="M54" s="81">
        <v>5.7389541162900272E-2</v>
      </c>
      <c r="N54" s="55">
        <v>495788.49083078699</v>
      </c>
      <c r="O54" s="19">
        <v>0</v>
      </c>
      <c r="P54" s="19">
        <v>0</v>
      </c>
      <c r="Q54" s="19">
        <v>0</v>
      </c>
      <c r="R54" s="19">
        <v>0</v>
      </c>
      <c r="S54" s="78">
        <v>0</v>
      </c>
      <c r="T54" s="19">
        <v>0</v>
      </c>
      <c r="U54" s="19">
        <v>-602.45636871500005</v>
      </c>
      <c r="V54" s="19">
        <v>0</v>
      </c>
      <c r="W54" s="19">
        <v>-69.506337325000004</v>
      </c>
      <c r="X54" s="19">
        <v>0</v>
      </c>
      <c r="Y54" s="19">
        <v>0</v>
      </c>
      <c r="Z54" s="19">
        <v>-20344.251463476001</v>
      </c>
      <c r="AA54" s="50">
        <v>-21028.9185693</v>
      </c>
      <c r="AB54" s="48">
        <f t="shared" si="0"/>
        <v>474759.57226148702</v>
      </c>
      <c r="AC54" s="18">
        <v>49</v>
      </c>
    </row>
    <row r="55" spans="1:29" s="17" customFormat="1" x14ac:dyDescent="0.25">
      <c r="A55" s="18">
        <v>50</v>
      </c>
      <c r="B55" s="86" t="s">
        <v>181</v>
      </c>
      <c r="C55" s="85">
        <f>VLOOKUP(B55,'UOG List'!C:G,5,FALSE)</f>
        <v>2</v>
      </c>
      <c r="D55" s="29">
        <v>-1.01E-2</v>
      </c>
      <c r="E55" s="19">
        <v>-0.34179999999999999</v>
      </c>
      <c r="F55" s="29">
        <v>3.9803000000000002</v>
      </c>
      <c r="G55" s="19">
        <v>137.87739999999999</v>
      </c>
      <c r="H55" s="29">
        <v>469.49999939999998</v>
      </c>
      <c r="I55" s="29">
        <v>25.498229268999999</v>
      </c>
      <c r="J55" s="29">
        <v>564.25422856399996</v>
      </c>
      <c r="K55" s="29">
        <v>82.970400326999993</v>
      </c>
      <c r="L55" s="19">
        <v>2607.0040710540002</v>
      </c>
      <c r="M55" s="81">
        <v>0.14704435718303024</v>
      </c>
      <c r="N55" s="55">
        <v>23511.818914602001</v>
      </c>
      <c r="O55" s="19">
        <v>0</v>
      </c>
      <c r="P55" s="19">
        <v>0</v>
      </c>
      <c r="Q55" s="19">
        <v>0</v>
      </c>
      <c r="R55" s="19">
        <v>0</v>
      </c>
      <c r="S55" s="78">
        <v>0</v>
      </c>
      <c r="T55" s="19">
        <v>0</v>
      </c>
      <c r="U55" s="19">
        <v>-1.077587595</v>
      </c>
      <c r="V55" s="19">
        <v>0</v>
      </c>
      <c r="W55" s="19">
        <v>-1.690687217</v>
      </c>
      <c r="X55" s="19">
        <v>0</v>
      </c>
      <c r="Y55" s="19">
        <v>0</v>
      </c>
      <c r="Z55" s="19">
        <v>0</v>
      </c>
      <c r="AA55" s="50">
        <v>-5.2054637340000003</v>
      </c>
      <c r="AB55" s="48">
        <f t="shared" si="0"/>
        <v>23506.613450868001</v>
      </c>
      <c r="AC55" s="18">
        <v>50</v>
      </c>
    </row>
    <row r="56" spans="1:29" s="17" customFormat="1" x14ac:dyDescent="0.25">
      <c r="A56" s="18">
        <v>51</v>
      </c>
      <c r="B56" s="86" t="s">
        <v>182</v>
      </c>
      <c r="C56" s="85">
        <f>VLOOKUP(B56,'UOG List'!C:G,5,FALSE)</f>
        <v>22</v>
      </c>
      <c r="D56" s="29">
        <v>-281.99520000000001</v>
      </c>
      <c r="E56" s="19">
        <v>-8793.4668000000001</v>
      </c>
      <c r="F56" s="29">
        <v>214.87960000000001</v>
      </c>
      <c r="G56" s="19">
        <v>5556.5187999999998</v>
      </c>
      <c r="H56" s="29">
        <v>5719.3999990920001</v>
      </c>
      <c r="I56" s="29">
        <v>-48.961879080000003</v>
      </c>
      <c r="J56" s="29">
        <v>5267.9024554970001</v>
      </c>
      <c r="K56" s="29">
        <v>783.50811138899996</v>
      </c>
      <c r="L56" s="19">
        <v>-11231.291731101001</v>
      </c>
      <c r="M56" s="81">
        <v>0.14873246382370228</v>
      </c>
      <c r="N56" s="55">
        <v>297953.59799522301</v>
      </c>
      <c r="O56" s="19">
        <v>0</v>
      </c>
      <c r="P56" s="19">
        <v>0</v>
      </c>
      <c r="Q56" s="19">
        <v>0</v>
      </c>
      <c r="R56" s="19">
        <v>0</v>
      </c>
      <c r="S56" s="78">
        <v>0</v>
      </c>
      <c r="T56" s="19">
        <v>0</v>
      </c>
      <c r="U56" s="19">
        <v>-64.565266445999995</v>
      </c>
      <c r="V56" s="19">
        <v>0</v>
      </c>
      <c r="W56" s="19">
        <v>-258.86964780800002</v>
      </c>
      <c r="X56" s="19">
        <v>0</v>
      </c>
      <c r="Y56" s="19">
        <v>0</v>
      </c>
      <c r="Z56" s="19">
        <v>0</v>
      </c>
      <c r="AA56" s="50">
        <v>-408.23800769899998</v>
      </c>
      <c r="AB56" s="48">
        <f t="shared" si="0"/>
        <v>297545.35998752399</v>
      </c>
      <c r="AC56" s="18">
        <v>51</v>
      </c>
    </row>
    <row r="57" spans="1:29" s="17" customFormat="1" x14ac:dyDescent="0.25">
      <c r="A57" s="18">
        <v>52</v>
      </c>
      <c r="B57" s="86" t="s">
        <v>183</v>
      </c>
      <c r="C57" s="85">
        <f>VLOOKUP(B57,'UOG List'!C:G,5,FALSE)</f>
        <v>13.5</v>
      </c>
      <c r="D57" s="29">
        <v>-0.77110000000000001</v>
      </c>
      <c r="E57" s="19">
        <v>-27.301300000000001</v>
      </c>
      <c r="F57" s="29">
        <v>39.945099999999996</v>
      </c>
      <c r="G57" s="19">
        <v>1177.8995</v>
      </c>
      <c r="H57" s="29">
        <v>1376.88</v>
      </c>
      <c r="I57" s="29">
        <v>-58.024271083999999</v>
      </c>
      <c r="J57" s="29">
        <v>1327.256679354</v>
      </c>
      <c r="K57" s="29">
        <v>83.133585608000004</v>
      </c>
      <c r="L57" s="19">
        <v>-65.572241133000006</v>
      </c>
      <c r="M57" s="81">
        <v>6.2635650587543196E-2</v>
      </c>
      <c r="N57" s="55">
        <v>44870.449339245002</v>
      </c>
      <c r="O57" s="19">
        <v>0</v>
      </c>
      <c r="P57" s="19">
        <v>0</v>
      </c>
      <c r="Q57" s="19">
        <v>0</v>
      </c>
      <c r="R57" s="19">
        <v>0</v>
      </c>
      <c r="S57" s="78">
        <v>0</v>
      </c>
      <c r="T57" s="19">
        <v>0</v>
      </c>
      <c r="U57" s="19">
        <v>-0.24358743599999999</v>
      </c>
      <c r="V57" s="19">
        <v>0</v>
      </c>
      <c r="W57" s="19">
        <v>-6.5571281849999998</v>
      </c>
      <c r="X57" s="19">
        <v>0</v>
      </c>
      <c r="Y57" s="19">
        <v>0</v>
      </c>
      <c r="Z57" s="19">
        <v>-1233.1542943679999</v>
      </c>
      <c r="AA57" s="50">
        <v>-1254.3625554759999</v>
      </c>
      <c r="AB57" s="48">
        <f t="shared" si="0"/>
        <v>43616.086783769002</v>
      </c>
      <c r="AC57" s="18">
        <v>52</v>
      </c>
    </row>
    <row r="58" spans="1:29" s="17" customFormat="1" x14ac:dyDescent="0.25">
      <c r="A58" s="18">
        <v>53</v>
      </c>
      <c r="B58" s="86" t="s">
        <v>184</v>
      </c>
      <c r="C58" s="85">
        <f>VLOOKUP(B58,'UOG List'!C:G,5,FALSE)</f>
        <v>14.5</v>
      </c>
      <c r="D58" s="29">
        <v>-8.4175000000000004</v>
      </c>
      <c r="E58" s="19">
        <v>-382.82760000000002</v>
      </c>
      <c r="F58" s="29">
        <v>2.9693999999999998</v>
      </c>
      <c r="G58" s="19">
        <v>115.17</v>
      </c>
      <c r="H58" s="29">
        <v>2452.5500000520001</v>
      </c>
      <c r="I58" s="29">
        <v>21.615000383000002</v>
      </c>
      <c r="J58" s="29">
        <v>2497.231053905</v>
      </c>
      <c r="K58" s="29">
        <v>245.148445455</v>
      </c>
      <c r="L58" s="19">
        <v>-593.31288241499999</v>
      </c>
      <c r="M58" s="81">
        <v>9.8168107060679688E-2</v>
      </c>
      <c r="N58" s="55">
        <v>85877.218053168006</v>
      </c>
      <c r="O58" s="19">
        <v>0</v>
      </c>
      <c r="P58" s="19">
        <v>0</v>
      </c>
      <c r="Q58" s="19">
        <v>0</v>
      </c>
      <c r="R58" s="19">
        <v>0</v>
      </c>
      <c r="S58" s="78">
        <v>0</v>
      </c>
      <c r="T58" s="19">
        <v>0</v>
      </c>
      <c r="U58" s="19">
        <v>-1.551151811</v>
      </c>
      <c r="V58" s="19">
        <v>0</v>
      </c>
      <c r="W58" s="19">
        <v>-28.06857029</v>
      </c>
      <c r="X58" s="19">
        <v>0</v>
      </c>
      <c r="Y58" s="19">
        <v>0</v>
      </c>
      <c r="Z58" s="19">
        <v>0</v>
      </c>
      <c r="AA58" s="50">
        <v>-66.203545653000006</v>
      </c>
      <c r="AB58" s="48">
        <f t="shared" si="0"/>
        <v>85811.014507515007</v>
      </c>
      <c r="AC58" s="18">
        <v>53</v>
      </c>
    </row>
    <row r="59" spans="1:29" s="17" customFormat="1" x14ac:dyDescent="0.25">
      <c r="A59" s="18">
        <v>54</v>
      </c>
      <c r="B59" s="86" t="s">
        <v>185</v>
      </c>
      <c r="C59" s="85">
        <f>VLOOKUP(B59,'UOG List'!C:G,5,FALSE)</f>
        <v>3.2</v>
      </c>
      <c r="D59" s="29">
        <v>-3.1067999999999998</v>
      </c>
      <c r="E59" s="19">
        <v>-118.54770000000001</v>
      </c>
      <c r="F59" s="29">
        <v>0</v>
      </c>
      <c r="G59" s="19">
        <v>0</v>
      </c>
      <c r="H59" s="29">
        <v>0</v>
      </c>
      <c r="I59" s="29">
        <v>0</v>
      </c>
      <c r="J59" s="29">
        <v>-3.1067840000000002</v>
      </c>
      <c r="K59" s="29">
        <v>3.1067840000000002</v>
      </c>
      <c r="L59" s="19">
        <v>-118.547722804</v>
      </c>
      <c r="M59" s="81">
        <v>-1</v>
      </c>
      <c r="N59" s="55">
        <v>-118.547722804</v>
      </c>
      <c r="O59" s="19">
        <v>0</v>
      </c>
      <c r="P59" s="19">
        <v>0</v>
      </c>
      <c r="Q59" s="19">
        <v>0</v>
      </c>
      <c r="R59" s="19">
        <v>0</v>
      </c>
      <c r="S59" s="78">
        <v>0</v>
      </c>
      <c r="T59" s="19">
        <v>0</v>
      </c>
      <c r="U59" s="19">
        <v>0</v>
      </c>
      <c r="V59" s="19">
        <v>0</v>
      </c>
      <c r="W59" s="19">
        <v>-0.57197415600000001</v>
      </c>
      <c r="X59" s="19">
        <v>0</v>
      </c>
      <c r="Y59" s="19">
        <v>0</v>
      </c>
      <c r="Z59" s="19">
        <v>0</v>
      </c>
      <c r="AA59" s="50">
        <v>-1.787959458</v>
      </c>
      <c r="AB59" s="48">
        <f t="shared" si="0"/>
        <v>-120.33568226200001</v>
      </c>
      <c r="AC59" s="18">
        <v>54</v>
      </c>
    </row>
    <row r="60" spans="1:29" s="17" customFormat="1" x14ac:dyDescent="0.25">
      <c r="A60" s="18">
        <v>55</v>
      </c>
      <c r="B60" s="86" t="s">
        <v>186</v>
      </c>
      <c r="C60" s="85">
        <f>VLOOKUP(B60,'UOG List'!C:G,5,FALSE)</f>
        <v>12</v>
      </c>
      <c r="D60" s="29">
        <v>-28.8278</v>
      </c>
      <c r="E60" s="19">
        <v>-1107.3931</v>
      </c>
      <c r="F60" s="29">
        <v>0</v>
      </c>
      <c r="G60" s="19">
        <v>0</v>
      </c>
      <c r="H60" s="29">
        <v>0</v>
      </c>
      <c r="I60" s="29">
        <v>0</v>
      </c>
      <c r="J60" s="29">
        <v>-28.827788055999999</v>
      </c>
      <c r="K60" s="29">
        <v>28.827788055999999</v>
      </c>
      <c r="L60" s="19">
        <v>-1107.3930676320001</v>
      </c>
      <c r="M60" s="81">
        <v>-1</v>
      </c>
      <c r="N60" s="55">
        <v>-1107.3930676320001</v>
      </c>
      <c r="O60" s="19">
        <v>0</v>
      </c>
      <c r="P60" s="19">
        <v>0</v>
      </c>
      <c r="Q60" s="19">
        <v>0</v>
      </c>
      <c r="R60" s="19">
        <v>0</v>
      </c>
      <c r="S60" s="78">
        <v>0</v>
      </c>
      <c r="T60" s="19">
        <v>0</v>
      </c>
      <c r="U60" s="19">
        <v>0</v>
      </c>
      <c r="V60" s="19">
        <v>0</v>
      </c>
      <c r="W60" s="19">
        <v>-7.2203964239999996</v>
      </c>
      <c r="X60" s="19">
        <v>0</v>
      </c>
      <c r="Y60" s="19">
        <v>0</v>
      </c>
      <c r="Z60" s="19">
        <v>0</v>
      </c>
      <c r="AA60" s="50">
        <v>-17.116996861000001</v>
      </c>
      <c r="AB60" s="48">
        <f t="shared" si="0"/>
        <v>-1124.5100644930001</v>
      </c>
      <c r="AC60" s="18">
        <v>55</v>
      </c>
    </row>
    <row r="61" spans="1:29" s="17" customFormat="1" x14ac:dyDescent="0.25">
      <c r="A61" s="18">
        <v>56</v>
      </c>
      <c r="B61" s="86" t="s">
        <v>187</v>
      </c>
      <c r="C61" s="85">
        <f>VLOOKUP(B61,'UOG List'!C:G,5,FALSE)</f>
        <v>8.4</v>
      </c>
      <c r="D61" s="29">
        <v>-7.8700000000000006E-2</v>
      </c>
      <c r="E61" s="19">
        <v>-2.052</v>
      </c>
      <c r="F61" s="29">
        <v>27.791899999999998</v>
      </c>
      <c r="G61" s="19">
        <v>523.26179999999999</v>
      </c>
      <c r="H61" s="29">
        <v>2323.5900000840002</v>
      </c>
      <c r="I61" s="29">
        <v>-211.53314723899999</v>
      </c>
      <c r="J61" s="29">
        <v>2079.4186022459999</v>
      </c>
      <c r="K61" s="29">
        <v>534.09374771299997</v>
      </c>
      <c r="L61" s="19">
        <v>-4670.0790238990003</v>
      </c>
      <c r="M61" s="81">
        <v>0.25684763382231945</v>
      </c>
      <c r="N61" s="55">
        <v>71272.615506602</v>
      </c>
      <c r="O61" s="19">
        <v>0</v>
      </c>
      <c r="P61" s="19">
        <v>0</v>
      </c>
      <c r="Q61" s="19">
        <v>0</v>
      </c>
      <c r="R61" s="19">
        <v>0</v>
      </c>
      <c r="S61" s="78">
        <v>0</v>
      </c>
      <c r="T61" s="19">
        <v>0</v>
      </c>
      <c r="U61" s="19">
        <v>58.482387932999998</v>
      </c>
      <c r="V61" s="19">
        <v>0</v>
      </c>
      <c r="W61" s="19">
        <v>-86.447382446000006</v>
      </c>
      <c r="X61" s="19">
        <v>0</v>
      </c>
      <c r="Y61" s="19">
        <v>0</v>
      </c>
      <c r="Z61" s="19">
        <v>0</v>
      </c>
      <c r="AA61" s="50">
        <v>-106.74963294600001</v>
      </c>
      <c r="AB61" s="48">
        <f t="shared" si="0"/>
        <v>71165.865873656003</v>
      </c>
      <c r="AC61" s="18">
        <v>56</v>
      </c>
    </row>
    <row r="62" spans="1:29" s="17" customFormat="1" x14ac:dyDescent="0.25">
      <c r="A62" s="18">
        <v>57</v>
      </c>
      <c r="B62" s="86" t="s">
        <v>188</v>
      </c>
      <c r="C62" s="85">
        <f>VLOOKUP(B62,'UOG List'!C:G,5,FALSE)</f>
        <v>46</v>
      </c>
      <c r="D62" s="29">
        <v>0</v>
      </c>
      <c r="E62" s="19">
        <v>0</v>
      </c>
      <c r="F62" s="29">
        <v>-5.8500000000000003E-2</v>
      </c>
      <c r="G62" s="19">
        <v>-1.7424999999999999</v>
      </c>
      <c r="H62" s="29">
        <v>3251.940002544</v>
      </c>
      <c r="I62" s="29">
        <v>-175.46446234800001</v>
      </c>
      <c r="J62" s="29">
        <v>3107.0899957689999</v>
      </c>
      <c r="K62" s="29">
        <v>188.642116703</v>
      </c>
      <c r="L62" s="19">
        <v>974.94148338000002</v>
      </c>
      <c r="M62" s="81">
        <v>6.0713438284658174E-2</v>
      </c>
      <c r="N62" s="55">
        <v>124913.90209869501</v>
      </c>
      <c r="O62" s="19">
        <v>0</v>
      </c>
      <c r="P62" s="19">
        <v>0</v>
      </c>
      <c r="Q62" s="19">
        <v>0</v>
      </c>
      <c r="R62" s="19">
        <v>0</v>
      </c>
      <c r="S62" s="78">
        <v>0</v>
      </c>
      <c r="T62" s="19">
        <v>0</v>
      </c>
      <c r="U62" s="19">
        <v>-2.0038500000000002E-3</v>
      </c>
      <c r="V62" s="19">
        <v>0</v>
      </c>
      <c r="W62" s="19">
        <v>-25.724696778999999</v>
      </c>
      <c r="X62" s="19">
        <v>0</v>
      </c>
      <c r="Y62" s="19">
        <v>0</v>
      </c>
      <c r="Z62" s="19">
        <v>-17027.641500180001</v>
      </c>
      <c r="AA62" s="50">
        <v>-17076.073353350999</v>
      </c>
      <c r="AB62" s="48">
        <f t="shared" si="0"/>
        <v>107837.82874534401</v>
      </c>
      <c r="AC62" s="18">
        <v>57</v>
      </c>
    </row>
    <row r="63" spans="1:29" s="17" customFormat="1" x14ac:dyDescent="0.25">
      <c r="A63" s="18">
        <v>58</v>
      </c>
      <c r="B63" s="86" t="s">
        <v>189</v>
      </c>
      <c r="C63" s="85">
        <f>VLOOKUP(B63,'UOG List'!C:G,5,FALSE)</f>
        <v>62</v>
      </c>
      <c r="D63" s="29">
        <v>0</v>
      </c>
      <c r="E63" s="19">
        <v>0</v>
      </c>
      <c r="F63" s="29">
        <v>972.9701</v>
      </c>
      <c r="G63" s="19">
        <v>34632.321600000003</v>
      </c>
      <c r="H63" s="29">
        <v>10856.600000820001</v>
      </c>
      <c r="I63" s="29">
        <v>1580.4179756000001</v>
      </c>
      <c r="J63" s="29">
        <v>12494.816187531</v>
      </c>
      <c r="K63" s="29">
        <v>340.46438016399998</v>
      </c>
      <c r="L63" s="19">
        <v>405.70616365000001</v>
      </c>
      <c r="M63" s="81">
        <v>2.724845048170944E-2</v>
      </c>
      <c r="N63" s="55">
        <v>586151.381275967</v>
      </c>
      <c r="O63" s="19">
        <v>0</v>
      </c>
      <c r="P63" s="19">
        <v>0</v>
      </c>
      <c r="Q63" s="19">
        <v>0</v>
      </c>
      <c r="R63" s="19">
        <v>0</v>
      </c>
      <c r="S63" s="78">
        <v>0</v>
      </c>
      <c r="T63" s="19">
        <v>0</v>
      </c>
      <c r="U63" s="19">
        <v>-40.917471188999997</v>
      </c>
      <c r="V63" s="19">
        <v>0</v>
      </c>
      <c r="W63" s="19">
        <v>-40.769437646999997</v>
      </c>
      <c r="X63" s="19">
        <v>0</v>
      </c>
      <c r="Y63" s="19">
        <v>0</v>
      </c>
      <c r="Z63" s="19">
        <v>-4135.5355291919996</v>
      </c>
      <c r="AA63" s="50">
        <v>-4255.3246507100002</v>
      </c>
      <c r="AB63" s="48">
        <f t="shared" si="0"/>
        <v>581896.05662525701</v>
      </c>
      <c r="AC63" s="18">
        <v>58</v>
      </c>
    </row>
    <row r="64" spans="1:29" s="17" customFormat="1" x14ac:dyDescent="0.25">
      <c r="A64" s="18">
        <v>59</v>
      </c>
      <c r="B64" s="86" t="s">
        <v>190</v>
      </c>
      <c r="C64" s="85">
        <f>VLOOKUP(B64,'UOG List'!C:G,5,FALSE)</f>
        <v>14</v>
      </c>
      <c r="D64" s="29">
        <v>0</v>
      </c>
      <c r="E64" s="19">
        <v>0</v>
      </c>
      <c r="F64" s="29">
        <v>0</v>
      </c>
      <c r="G64" s="19">
        <v>0</v>
      </c>
      <c r="H64" s="29">
        <v>7551.9700022039997</v>
      </c>
      <c r="I64" s="29">
        <v>-23.439519465</v>
      </c>
      <c r="J64" s="29">
        <v>7534.3531359409999</v>
      </c>
      <c r="K64" s="29">
        <v>144.467156512</v>
      </c>
      <c r="L64" s="19">
        <v>-410.09059405699998</v>
      </c>
      <c r="M64" s="81">
        <v>1.9174460488565463E-2</v>
      </c>
      <c r="N64" s="55">
        <v>352021.02307768498</v>
      </c>
      <c r="O64" s="19">
        <v>0</v>
      </c>
      <c r="P64" s="19">
        <v>0</v>
      </c>
      <c r="Q64" s="19">
        <v>0</v>
      </c>
      <c r="R64" s="19">
        <v>0</v>
      </c>
      <c r="S64" s="78">
        <v>0</v>
      </c>
      <c r="T64" s="19">
        <v>0</v>
      </c>
      <c r="U64" s="19">
        <v>-204.08854281500001</v>
      </c>
      <c r="V64" s="19">
        <v>0</v>
      </c>
      <c r="W64" s="19">
        <v>-20.292198192000001</v>
      </c>
      <c r="X64" s="19">
        <v>0</v>
      </c>
      <c r="Y64" s="19">
        <v>0</v>
      </c>
      <c r="Z64" s="19">
        <v>-1367.8151058240001</v>
      </c>
      <c r="AA64" s="50">
        <v>-1611.966387358</v>
      </c>
      <c r="AB64" s="48">
        <f t="shared" si="0"/>
        <v>350409.05669032695</v>
      </c>
      <c r="AC64" s="18">
        <v>59</v>
      </c>
    </row>
    <row r="65" spans="1:29" s="17" customFormat="1" x14ac:dyDescent="0.25">
      <c r="A65" s="18">
        <v>60</v>
      </c>
      <c r="B65" s="86" t="s">
        <v>191</v>
      </c>
      <c r="C65" s="85">
        <f>VLOOKUP(B65,'UOG List'!C:G,5,FALSE)</f>
        <v>101.5</v>
      </c>
      <c r="D65" s="29">
        <v>0</v>
      </c>
      <c r="E65" s="19">
        <v>0</v>
      </c>
      <c r="F65" s="29">
        <v>0</v>
      </c>
      <c r="G65" s="19">
        <v>0</v>
      </c>
      <c r="H65" s="29">
        <v>30010.400000411999</v>
      </c>
      <c r="I65" s="29">
        <v>-1375.667024678</v>
      </c>
      <c r="J65" s="29">
        <v>29097.090046714999</v>
      </c>
      <c r="K65" s="29">
        <v>1500.7145837969999</v>
      </c>
      <c r="L65" s="19">
        <v>27096.013673369998</v>
      </c>
      <c r="M65" s="81">
        <v>5.1576105424550094E-2</v>
      </c>
      <c r="N65" s="55">
        <v>1596016.1096417999</v>
      </c>
      <c r="O65" s="19">
        <v>0</v>
      </c>
      <c r="P65" s="19">
        <v>0</v>
      </c>
      <c r="Q65" s="19">
        <v>0</v>
      </c>
      <c r="R65" s="19">
        <v>0</v>
      </c>
      <c r="S65" s="78">
        <v>0</v>
      </c>
      <c r="T65" s="19">
        <v>0</v>
      </c>
      <c r="U65" s="19">
        <v>-3833.2931674689999</v>
      </c>
      <c r="V65" s="19">
        <v>791.322181419</v>
      </c>
      <c r="W65" s="19">
        <v>-202.08700257800001</v>
      </c>
      <c r="X65" s="19">
        <v>0</v>
      </c>
      <c r="Y65" s="19">
        <v>0</v>
      </c>
      <c r="Z65" s="19">
        <v>-23549.509779294</v>
      </c>
      <c r="AA65" s="50">
        <v>-26894.038483122</v>
      </c>
      <c r="AB65" s="48">
        <f t="shared" si="0"/>
        <v>1569122.071158678</v>
      </c>
      <c r="AC65" s="18">
        <v>60</v>
      </c>
    </row>
    <row r="66" spans="1:29" s="17" customFormat="1" x14ac:dyDescent="0.25">
      <c r="A66" s="18">
        <v>61</v>
      </c>
      <c r="B66" s="86" t="s">
        <v>192</v>
      </c>
      <c r="C66" s="85">
        <f>VLOOKUP(B66,'UOG List'!C:G,5,FALSE)</f>
        <v>7</v>
      </c>
      <c r="D66" s="29">
        <v>-3.9E-2</v>
      </c>
      <c r="E66" s="19">
        <v>-3.5381999999999998</v>
      </c>
      <c r="F66" s="29">
        <v>4.58E-2</v>
      </c>
      <c r="G66" s="19">
        <v>1.7357</v>
      </c>
      <c r="H66" s="29">
        <v>809.68000004400005</v>
      </c>
      <c r="I66" s="29">
        <v>-62.198854214000001</v>
      </c>
      <c r="J66" s="29">
        <v>743.89626547800003</v>
      </c>
      <c r="K66" s="29">
        <v>59.059393237999998</v>
      </c>
      <c r="L66" s="19">
        <v>-2305.3433474160001</v>
      </c>
      <c r="M66" s="81">
        <v>7.939197436359037E-2</v>
      </c>
      <c r="N66" s="55">
        <v>21577.932378722999</v>
      </c>
      <c r="O66" s="19">
        <v>0</v>
      </c>
      <c r="P66" s="19">
        <v>0</v>
      </c>
      <c r="Q66" s="19">
        <v>0</v>
      </c>
      <c r="R66" s="19">
        <v>0</v>
      </c>
      <c r="S66" s="78">
        <v>0</v>
      </c>
      <c r="T66" s="19">
        <v>0</v>
      </c>
      <c r="U66" s="19">
        <v>-2.184299357</v>
      </c>
      <c r="V66" s="19">
        <v>0</v>
      </c>
      <c r="W66" s="19">
        <v>2.968555775</v>
      </c>
      <c r="X66" s="19">
        <v>0</v>
      </c>
      <c r="Y66" s="19">
        <v>0</v>
      </c>
      <c r="Z66" s="19">
        <v>-2555.5500189300001</v>
      </c>
      <c r="AA66" s="50">
        <v>-2578.2545618250001</v>
      </c>
      <c r="AB66" s="48">
        <f t="shared" si="0"/>
        <v>18999.677816897998</v>
      </c>
      <c r="AC66" s="18">
        <v>61</v>
      </c>
    </row>
    <row r="67" spans="1:29" s="17" customFormat="1" x14ac:dyDescent="0.25">
      <c r="A67" s="18">
        <v>62</v>
      </c>
      <c r="B67" s="87" t="s">
        <v>193</v>
      </c>
      <c r="C67" s="85">
        <f>VLOOKUP(B67,'UOG List'!C:G,5,FALSE)</f>
        <v>91</v>
      </c>
      <c r="D67" s="29">
        <v>0</v>
      </c>
      <c r="E67" s="19">
        <v>0</v>
      </c>
      <c r="F67" s="29">
        <v>6.2945000000000002</v>
      </c>
      <c r="G67" s="19">
        <v>168.5318</v>
      </c>
      <c r="H67" s="29">
        <v>29770.910001635999</v>
      </c>
      <c r="I67" s="29">
        <v>-1610.1628658510001</v>
      </c>
      <c r="J67" s="29">
        <v>28170.653999999999</v>
      </c>
      <c r="K67" s="29">
        <v>519.52253752900003</v>
      </c>
      <c r="L67" s="19">
        <v>-3887.5099744200002</v>
      </c>
      <c r="M67" s="81">
        <v>1.8441976445736762E-2</v>
      </c>
      <c r="N67" s="55">
        <v>1101300.72874383</v>
      </c>
      <c r="O67" s="19">
        <v>2856.7053592500001</v>
      </c>
      <c r="P67" s="19">
        <v>8.6253750000000004E-2</v>
      </c>
      <c r="Q67" s="19">
        <v>20126.086255800001</v>
      </c>
      <c r="R67" s="19">
        <v>18846.521808649999</v>
      </c>
      <c r="S67" s="78">
        <v>7.7610809464787128E-2</v>
      </c>
      <c r="T67" s="19">
        <v>-3246.4135683929999</v>
      </c>
      <c r="U67" s="19">
        <v>-2330.0819348280002</v>
      </c>
      <c r="V67" s="19">
        <v>2429.149343478</v>
      </c>
      <c r="W67" s="19">
        <v>-13.761600098000001</v>
      </c>
      <c r="X67" s="19">
        <v>0</v>
      </c>
      <c r="Y67" s="19">
        <v>0</v>
      </c>
      <c r="Z67" s="19">
        <v>-52023.125331023999</v>
      </c>
      <c r="AA67" s="50">
        <v>-12909.405114835999</v>
      </c>
      <c r="AB67" s="48">
        <f t="shared" si="0"/>
        <v>1088391.3236289939</v>
      </c>
      <c r="AC67" s="18">
        <v>62</v>
      </c>
    </row>
    <row r="68" spans="1:29" s="17" customFormat="1" x14ac:dyDescent="0.25">
      <c r="A68" s="18">
        <v>63</v>
      </c>
      <c r="B68" s="86" t="s">
        <v>194</v>
      </c>
      <c r="C68" s="85">
        <f>VLOOKUP(B68,'UOG List'!C:G,5,FALSE)</f>
        <v>2</v>
      </c>
      <c r="D68" s="29">
        <v>-1.6157999999999999</v>
      </c>
      <c r="E68" s="19">
        <v>-60.822699999999998</v>
      </c>
      <c r="F68" s="29">
        <v>18.8066</v>
      </c>
      <c r="G68" s="19">
        <v>1000.6218</v>
      </c>
      <c r="H68" s="29">
        <v>168.3</v>
      </c>
      <c r="I68" s="29">
        <v>33.356333544000002</v>
      </c>
      <c r="J68" s="29">
        <v>242.05750530899999</v>
      </c>
      <c r="K68" s="29">
        <v>84.431725835999998</v>
      </c>
      <c r="L68" s="19">
        <v>2275.3024725969999</v>
      </c>
      <c r="M68" s="81">
        <v>0.34880854335922434</v>
      </c>
      <c r="N68" s="55">
        <v>9917.303509333</v>
      </c>
      <c r="O68" s="19">
        <v>0</v>
      </c>
      <c r="P68" s="19">
        <v>0</v>
      </c>
      <c r="Q68" s="19">
        <v>0</v>
      </c>
      <c r="R68" s="19">
        <v>0</v>
      </c>
      <c r="S68" s="78">
        <v>0</v>
      </c>
      <c r="T68" s="19">
        <v>0</v>
      </c>
      <c r="U68" s="19">
        <v>-0.339504741</v>
      </c>
      <c r="V68" s="19">
        <v>0</v>
      </c>
      <c r="W68" s="19">
        <v>-0.326876218</v>
      </c>
      <c r="X68" s="19">
        <v>0</v>
      </c>
      <c r="Y68" s="19">
        <v>0</v>
      </c>
      <c r="Z68" s="19">
        <v>0</v>
      </c>
      <c r="AA68" s="50">
        <v>-13.929261460999999</v>
      </c>
      <c r="AB68" s="48">
        <f t="shared" si="0"/>
        <v>9903.3742478719996</v>
      </c>
      <c r="AC68" s="18">
        <v>63</v>
      </c>
    </row>
    <row r="69" spans="1:29" s="17" customFormat="1" x14ac:dyDescent="0.25">
      <c r="A69" s="18">
        <v>64</v>
      </c>
      <c r="B69" s="86" t="s">
        <v>195</v>
      </c>
      <c r="C69" s="85">
        <f>VLOOKUP(B69,'UOG List'!C:G,5,FALSE)</f>
        <v>3.5</v>
      </c>
      <c r="D69" s="29">
        <v>0</v>
      </c>
      <c r="E69" s="19">
        <v>0</v>
      </c>
      <c r="F69" s="29">
        <v>0</v>
      </c>
      <c r="G69" s="19">
        <v>0</v>
      </c>
      <c r="H69" s="29">
        <v>0</v>
      </c>
      <c r="I69" s="29">
        <v>0</v>
      </c>
      <c r="J69" s="29">
        <v>0</v>
      </c>
      <c r="K69" s="29">
        <v>0</v>
      </c>
      <c r="L69" s="19">
        <v>0</v>
      </c>
      <c r="M69" s="81">
        <v>0</v>
      </c>
      <c r="N69" s="55">
        <v>0</v>
      </c>
      <c r="O69" s="19">
        <v>0</v>
      </c>
      <c r="P69" s="19">
        <v>0</v>
      </c>
      <c r="Q69" s="19">
        <v>0</v>
      </c>
      <c r="R69" s="19">
        <v>0</v>
      </c>
      <c r="S69" s="78">
        <v>0</v>
      </c>
      <c r="T69" s="19">
        <v>0</v>
      </c>
      <c r="U69" s="19">
        <v>0</v>
      </c>
      <c r="V69" s="19">
        <v>0</v>
      </c>
      <c r="W69" s="19">
        <v>0</v>
      </c>
      <c r="X69" s="19">
        <v>0</v>
      </c>
      <c r="Y69" s="19">
        <v>0</v>
      </c>
      <c r="Z69" s="19">
        <v>0</v>
      </c>
      <c r="AA69" s="50">
        <v>0</v>
      </c>
      <c r="AB69" s="48">
        <f t="shared" si="0"/>
        <v>0</v>
      </c>
      <c r="AC69" s="18">
        <v>64</v>
      </c>
    </row>
    <row r="70" spans="1:29" s="17" customFormat="1" x14ac:dyDescent="0.25">
      <c r="A70" s="16">
        <v>65</v>
      </c>
      <c r="B70" s="101" t="s">
        <v>196</v>
      </c>
      <c r="C70" s="102"/>
      <c r="D70" s="30">
        <v>-1.1848000000000001</v>
      </c>
      <c r="E70" s="20">
        <v>-49.036999999999999</v>
      </c>
      <c r="F70" s="30">
        <v>1435.2046</v>
      </c>
      <c r="G70" s="20">
        <v>45772.156500000005</v>
      </c>
      <c r="H70" s="30">
        <v>138941.46000155999</v>
      </c>
      <c r="I70" s="30">
        <v>-3632.0109063499999</v>
      </c>
      <c r="J70" s="30">
        <v>134749.204081273</v>
      </c>
      <c r="K70" s="30">
        <v>8051.1220780680005</v>
      </c>
      <c r="L70" s="20">
        <v>-36247.099958356994</v>
      </c>
      <c r="M70" s="80">
        <v>5.9748939765254756E-2</v>
      </c>
      <c r="N70" s="53">
        <v>6834991.2120541371</v>
      </c>
      <c r="O70" s="20">
        <v>266979.55660164997</v>
      </c>
      <c r="P70" s="20">
        <v>91025.234829999987</v>
      </c>
      <c r="Q70" s="20">
        <v>56072.918507599999</v>
      </c>
      <c r="R70" s="20">
        <v>31085.682415374999</v>
      </c>
      <c r="S70" s="77">
        <v>4.5095898710120957E-2</v>
      </c>
      <c r="T70" s="20">
        <v>-20075.043251078001</v>
      </c>
      <c r="U70" s="20">
        <v>-10505.477402579003</v>
      </c>
      <c r="V70" s="20">
        <v>43154.277014907006</v>
      </c>
      <c r="W70" s="20">
        <v>-1248.6938518000002</v>
      </c>
      <c r="X70" s="20">
        <v>0</v>
      </c>
      <c r="Y70" s="20">
        <v>0</v>
      </c>
      <c r="Z70" s="20">
        <v>-174302.68741905599</v>
      </c>
      <c r="AA70" s="52">
        <v>281156.75432175101</v>
      </c>
      <c r="AB70" s="49">
        <f t="shared" si="0"/>
        <v>7116147.9663758883</v>
      </c>
      <c r="AC70" s="16">
        <v>65</v>
      </c>
    </row>
    <row r="71" spans="1:29" s="17" customFormat="1" x14ac:dyDescent="0.25">
      <c r="A71" s="18">
        <v>66</v>
      </c>
      <c r="B71" s="88" t="s">
        <v>197</v>
      </c>
      <c r="C71" s="85">
        <f>VLOOKUP(B71,'UOG List'!C:G,5,FALSE)</f>
        <v>144</v>
      </c>
      <c r="D71" s="29">
        <v>-0.39860000000000001</v>
      </c>
      <c r="E71" s="19">
        <v>-11.672499999999999</v>
      </c>
      <c r="F71" s="29">
        <v>-11.709300000000001</v>
      </c>
      <c r="G71" s="19">
        <v>-6470.9621999999999</v>
      </c>
      <c r="H71" s="29">
        <v>37668.950002536003</v>
      </c>
      <c r="I71" s="29">
        <v>1635.8570803069999</v>
      </c>
      <c r="J71" s="29">
        <v>39021.113666158002</v>
      </c>
      <c r="K71" s="29">
        <v>1543.5543989170001</v>
      </c>
      <c r="L71" s="19">
        <v>-17574.002506312001</v>
      </c>
      <c r="M71" s="81">
        <v>3.9556902760970777E-2</v>
      </c>
      <c r="N71" s="55">
        <v>2238246.4006420001</v>
      </c>
      <c r="O71" s="19">
        <v>80745.430366600005</v>
      </c>
      <c r="P71" s="19">
        <v>78091.569774999996</v>
      </c>
      <c r="Q71" s="19">
        <v>0</v>
      </c>
      <c r="R71" s="19">
        <v>0</v>
      </c>
      <c r="S71" s="78">
        <v>4.7463248536859827E-3</v>
      </c>
      <c r="T71" s="19">
        <v>-753.89200145699999</v>
      </c>
      <c r="U71" s="19">
        <v>-4922.5775418220001</v>
      </c>
      <c r="V71" s="19">
        <v>29378.584643624999</v>
      </c>
      <c r="W71" s="19">
        <v>-348.534840809</v>
      </c>
      <c r="X71" s="19">
        <v>0</v>
      </c>
      <c r="Y71" s="19">
        <v>0</v>
      </c>
      <c r="Z71" s="19">
        <v>-38861.983012224002</v>
      </c>
      <c r="AA71" s="50">
        <v>143093.008377527</v>
      </c>
      <c r="AB71" s="48">
        <f t="shared" si="0"/>
        <v>2381339.409019527</v>
      </c>
      <c r="AC71" s="18">
        <v>66</v>
      </c>
    </row>
    <row r="72" spans="1:29" s="17" customFormat="1" x14ac:dyDescent="0.25">
      <c r="A72" s="18">
        <v>67</v>
      </c>
      <c r="B72" s="86" t="s">
        <v>198</v>
      </c>
      <c r="C72" s="85">
        <f>VLOOKUP(B72,'UOG List'!C:G,5,FALSE)</f>
        <v>33</v>
      </c>
      <c r="D72" s="29">
        <v>0</v>
      </c>
      <c r="E72" s="19">
        <v>0</v>
      </c>
      <c r="F72" s="29">
        <v>0</v>
      </c>
      <c r="G72" s="19">
        <v>0</v>
      </c>
      <c r="H72" s="29">
        <v>7562.329997844</v>
      </c>
      <c r="I72" s="29">
        <v>587.75140217700005</v>
      </c>
      <c r="J72" s="29">
        <v>7979.2367383950004</v>
      </c>
      <c r="K72" s="29">
        <v>731.707186933</v>
      </c>
      <c r="L72" s="19">
        <v>-17352.952651621999</v>
      </c>
      <c r="M72" s="81">
        <v>9.170140088864949E-2</v>
      </c>
      <c r="N72" s="55">
        <v>462733.05274121597</v>
      </c>
      <c r="O72" s="19">
        <v>41349.004814699998</v>
      </c>
      <c r="P72" s="19">
        <v>0</v>
      </c>
      <c r="Q72" s="19">
        <v>0</v>
      </c>
      <c r="R72" s="19">
        <v>0</v>
      </c>
      <c r="S72" s="78">
        <v>9.795852904735473E-3</v>
      </c>
      <c r="T72" s="19">
        <v>-405.04876892200002</v>
      </c>
      <c r="U72" s="19">
        <v>-1788.570661359</v>
      </c>
      <c r="V72" s="19">
        <v>8488.4198113359998</v>
      </c>
      <c r="W72" s="19">
        <v>-18.879856806999999</v>
      </c>
      <c r="X72" s="19">
        <v>0</v>
      </c>
      <c r="Y72" s="19">
        <v>0</v>
      </c>
      <c r="Z72" s="19">
        <v>-22875.553026972</v>
      </c>
      <c r="AA72" s="50">
        <v>24473.416033075999</v>
      </c>
      <c r="AB72" s="48">
        <f t="shared" ref="AB72:AB113" si="1">AA72+N72</f>
        <v>487206.46877429198</v>
      </c>
      <c r="AC72" s="18">
        <v>67</v>
      </c>
    </row>
    <row r="73" spans="1:29" s="17" customFormat="1" x14ac:dyDescent="0.25">
      <c r="A73" s="18">
        <v>68</v>
      </c>
      <c r="B73" s="86" t="s">
        <v>199</v>
      </c>
      <c r="C73" s="85">
        <f>VLOOKUP(B73,'UOG List'!C:G,5,FALSE)</f>
        <v>52.5</v>
      </c>
      <c r="D73" s="29">
        <v>0</v>
      </c>
      <c r="E73" s="19">
        <v>0</v>
      </c>
      <c r="F73" s="29">
        <v>6.0403000000000002</v>
      </c>
      <c r="G73" s="19">
        <v>738.58590000000004</v>
      </c>
      <c r="H73" s="29">
        <v>17223.650002091999</v>
      </c>
      <c r="I73" s="29">
        <v>-75.439788608000001</v>
      </c>
      <c r="J73" s="29">
        <v>17220.016257301999</v>
      </c>
      <c r="K73" s="29">
        <v>944.59208270299996</v>
      </c>
      <c r="L73" s="19">
        <v>3353.4657897249999</v>
      </c>
      <c r="M73" s="81">
        <v>5.4854308415792224E-2</v>
      </c>
      <c r="N73" s="55">
        <v>922205.78561723605</v>
      </c>
      <c r="O73" s="19">
        <v>39307.490323799997</v>
      </c>
      <c r="P73" s="19">
        <v>7236.6191399999998</v>
      </c>
      <c r="Q73" s="19">
        <v>0</v>
      </c>
      <c r="R73" s="19">
        <v>0</v>
      </c>
      <c r="S73" s="78">
        <v>3.6118467161252457E-2</v>
      </c>
      <c r="T73" s="19">
        <v>-1681.101889218</v>
      </c>
      <c r="U73" s="19">
        <v>-1883.929076007</v>
      </c>
      <c r="V73" s="19">
        <v>1190.578695382</v>
      </c>
      <c r="W73" s="19">
        <v>-112.946249796</v>
      </c>
      <c r="X73" s="19">
        <v>0</v>
      </c>
      <c r="Y73" s="19">
        <v>0</v>
      </c>
      <c r="Z73" s="19">
        <v>-38285.925382385998</v>
      </c>
      <c r="AA73" s="50">
        <v>5610.5279154549999</v>
      </c>
      <c r="AB73" s="48">
        <f t="shared" si="1"/>
        <v>927816.3135326911</v>
      </c>
      <c r="AC73" s="18">
        <v>68</v>
      </c>
    </row>
    <row r="74" spans="1:29" s="17" customFormat="1" x14ac:dyDescent="0.25">
      <c r="A74" s="18">
        <v>69</v>
      </c>
      <c r="B74" s="86" t="s">
        <v>200</v>
      </c>
      <c r="C74" s="85">
        <f>VLOOKUP(B74,'UOG List'!C:G,5,FALSE)</f>
        <v>54.6</v>
      </c>
      <c r="D74" s="29">
        <v>-0.1101</v>
      </c>
      <c r="E74" s="19">
        <v>-9.9039999999999999</v>
      </c>
      <c r="F74" s="29">
        <v>9.6509</v>
      </c>
      <c r="G74" s="19">
        <v>806.7115</v>
      </c>
      <c r="H74" s="29">
        <v>18686.130001752001</v>
      </c>
      <c r="I74" s="29">
        <v>150.23419574799999</v>
      </c>
      <c r="J74" s="29">
        <v>18562.354772819999</v>
      </c>
      <c r="K74" s="29">
        <v>1168.1773651569999</v>
      </c>
      <c r="L74" s="19">
        <v>-14887.269292309</v>
      </c>
      <c r="M74" s="81">
        <v>6.293260631283204E-2</v>
      </c>
      <c r="N74" s="55">
        <v>954037.76577792305</v>
      </c>
      <c r="O74" s="19">
        <v>33951.926699099997</v>
      </c>
      <c r="P74" s="19">
        <v>5697.0459149999997</v>
      </c>
      <c r="Q74" s="19">
        <v>0</v>
      </c>
      <c r="R74" s="19">
        <v>0</v>
      </c>
      <c r="S74" s="78">
        <v>3.0331349994736762E-2</v>
      </c>
      <c r="T74" s="19">
        <v>-1202.6068652900001</v>
      </c>
      <c r="U74" s="19">
        <v>-1525.2765904410001</v>
      </c>
      <c r="V74" s="19">
        <v>1195.8100267530001</v>
      </c>
      <c r="W74" s="19">
        <v>-86.072307511000005</v>
      </c>
      <c r="X74" s="19">
        <v>0</v>
      </c>
      <c r="Y74" s="19">
        <v>0</v>
      </c>
      <c r="Z74" s="19">
        <v>-40235.153131097999</v>
      </c>
      <c r="AA74" s="50">
        <v>-2580.120027127</v>
      </c>
      <c r="AB74" s="48">
        <f t="shared" si="1"/>
        <v>951457.64575079607</v>
      </c>
      <c r="AC74" s="18">
        <v>69</v>
      </c>
    </row>
    <row r="75" spans="1:29" s="17" customFormat="1" x14ac:dyDescent="0.25">
      <c r="A75" s="18">
        <v>70</v>
      </c>
      <c r="B75" s="86" t="s">
        <v>201</v>
      </c>
      <c r="C75" s="85">
        <f>VLOOKUP(B75,'UOG List'!C:G,5,FALSE)</f>
        <v>51.2</v>
      </c>
      <c r="D75" s="29">
        <v>0</v>
      </c>
      <c r="E75" s="19">
        <v>0</v>
      </c>
      <c r="F75" s="29">
        <v>0</v>
      </c>
      <c r="G75" s="19">
        <v>0</v>
      </c>
      <c r="H75" s="29">
        <v>12096.699997055999</v>
      </c>
      <c r="I75" s="29">
        <v>1156.908882937</v>
      </c>
      <c r="J75" s="29">
        <v>12272.404493975</v>
      </c>
      <c r="K75" s="29">
        <v>1605.232017</v>
      </c>
      <c r="L75" s="19">
        <v>-33566.303276589002</v>
      </c>
      <c r="M75" s="81">
        <v>0.13080012297411406</v>
      </c>
      <c r="N75" s="55">
        <v>729708.73410693905</v>
      </c>
      <c r="O75" s="19">
        <v>71625.704397449997</v>
      </c>
      <c r="P75" s="19">
        <v>0</v>
      </c>
      <c r="Q75" s="19">
        <v>0</v>
      </c>
      <c r="R75" s="19">
        <v>0</v>
      </c>
      <c r="S75" s="78">
        <v>4.6984550304175587E-2</v>
      </c>
      <c r="T75" s="19">
        <v>-3365.3015113340002</v>
      </c>
      <c r="U75" s="19">
        <v>-3049.246912611</v>
      </c>
      <c r="V75" s="19">
        <v>2900.8838378109999</v>
      </c>
      <c r="W75" s="19">
        <v>-484.00092160499997</v>
      </c>
      <c r="X75" s="19">
        <v>0</v>
      </c>
      <c r="Y75" s="19">
        <v>0</v>
      </c>
      <c r="Z75" s="19">
        <v>-34044.072866376002</v>
      </c>
      <c r="AA75" s="50">
        <v>33299.660911437997</v>
      </c>
      <c r="AB75" s="48">
        <f t="shared" si="1"/>
        <v>763008.39501837711</v>
      </c>
      <c r="AC75" s="18">
        <v>70</v>
      </c>
    </row>
    <row r="76" spans="1:29" s="17" customFormat="1" x14ac:dyDescent="0.25">
      <c r="A76" s="18">
        <v>71</v>
      </c>
      <c r="B76" s="86" t="s">
        <v>202</v>
      </c>
      <c r="C76" s="85">
        <f>VLOOKUP(B76,'UOG List'!C:G,5,FALSE)</f>
        <v>0.9</v>
      </c>
      <c r="D76" s="29">
        <v>-0.67610000000000003</v>
      </c>
      <c r="E76" s="19">
        <v>-27.4605</v>
      </c>
      <c r="F76" s="29">
        <v>6.3500000000000001E-2</v>
      </c>
      <c r="G76" s="19">
        <v>1.9765999999999999</v>
      </c>
      <c r="H76" s="29">
        <v>291.02000109599999</v>
      </c>
      <c r="I76" s="29">
        <v>12.395000052</v>
      </c>
      <c r="J76" s="29">
        <v>372.99548622399999</v>
      </c>
      <c r="K76" s="29">
        <v>109.57993455099999</v>
      </c>
      <c r="L76" s="19">
        <v>3113.2975469530002</v>
      </c>
      <c r="M76" s="81">
        <v>0.29378354054717026</v>
      </c>
      <c r="N76" s="55">
        <v>17696.620981181</v>
      </c>
      <c r="O76" s="19">
        <v>0</v>
      </c>
      <c r="P76" s="19">
        <v>0</v>
      </c>
      <c r="Q76" s="19">
        <v>0</v>
      </c>
      <c r="R76" s="19">
        <v>0</v>
      </c>
      <c r="S76" s="78">
        <v>0</v>
      </c>
      <c r="T76" s="19">
        <v>0</v>
      </c>
      <c r="U76" s="19">
        <v>-3.9084323570000001</v>
      </c>
      <c r="V76" s="19">
        <v>0</v>
      </c>
      <c r="W76" s="19">
        <v>-4.5835039709999998</v>
      </c>
      <c r="X76" s="19">
        <v>0</v>
      </c>
      <c r="Y76" s="19">
        <v>0</v>
      </c>
      <c r="Z76" s="19">
        <v>0</v>
      </c>
      <c r="AA76" s="50">
        <v>-15.905039052999999</v>
      </c>
      <c r="AB76" s="48">
        <f t="shared" si="1"/>
        <v>17680.715942128001</v>
      </c>
      <c r="AC76" s="18">
        <v>71</v>
      </c>
    </row>
    <row r="77" spans="1:29" s="17" customFormat="1" x14ac:dyDescent="0.25">
      <c r="A77" s="18">
        <v>72</v>
      </c>
      <c r="B77" s="86" t="s">
        <v>203</v>
      </c>
      <c r="C77" s="85">
        <f>VLOOKUP(B77,'UOG List'!C:G,5,FALSE)</f>
        <v>18.399999999999999</v>
      </c>
      <c r="D77" s="29">
        <v>0</v>
      </c>
      <c r="E77" s="19">
        <v>0</v>
      </c>
      <c r="F77" s="29">
        <v>20.462599999999998</v>
      </c>
      <c r="G77" s="19">
        <v>1925.7348</v>
      </c>
      <c r="H77" s="29">
        <v>2051.7600003839998</v>
      </c>
      <c r="I77" s="29">
        <v>76.864801385999996</v>
      </c>
      <c r="J77" s="29">
        <v>2261.2568263479998</v>
      </c>
      <c r="K77" s="29">
        <v>465.94509182600001</v>
      </c>
      <c r="L77" s="19">
        <v>3093.1701866459998</v>
      </c>
      <c r="M77" s="81">
        <v>0.20605580330232362</v>
      </c>
      <c r="N77" s="55">
        <v>99284.501169840994</v>
      </c>
      <c r="O77" s="19">
        <v>0</v>
      </c>
      <c r="P77" s="19">
        <v>0</v>
      </c>
      <c r="Q77" s="19">
        <v>0</v>
      </c>
      <c r="R77" s="19">
        <v>0</v>
      </c>
      <c r="S77" s="78">
        <v>0</v>
      </c>
      <c r="T77" s="19">
        <v>0</v>
      </c>
      <c r="U77" s="19">
        <v>3.4613448139999998</v>
      </c>
      <c r="V77" s="19">
        <v>0</v>
      </c>
      <c r="W77" s="19">
        <v>-47.461130031000003</v>
      </c>
      <c r="X77" s="19">
        <v>0</v>
      </c>
      <c r="Y77" s="19">
        <v>0</v>
      </c>
      <c r="Z77" s="19">
        <v>0</v>
      </c>
      <c r="AA77" s="50">
        <v>-103.23572452499999</v>
      </c>
      <c r="AB77" s="48">
        <f t="shared" si="1"/>
        <v>99181.265445315992</v>
      </c>
      <c r="AC77" s="18">
        <v>72</v>
      </c>
    </row>
    <row r="78" spans="1:29" s="17" customFormat="1" x14ac:dyDescent="0.25">
      <c r="A78" s="18">
        <v>73</v>
      </c>
      <c r="B78" s="86" t="s">
        <v>204</v>
      </c>
      <c r="C78" s="85">
        <f>VLOOKUP(B78,'UOG List'!C:G,5,FALSE)</f>
        <v>3.2</v>
      </c>
      <c r="D78" s="29">
        <v>0</v>
      </c>
      <c r="E78" s="19">
        <v>0</v>
      </c>
      <c r="F78" s="29">
        <v>50.383000000000003</v>
      </c>
      <c r="G78" s="19">
        <v>1722.7246</v>
      </c>
      <c r="H78" s="29">
        <v>307.19999923199998</v>
      </c>
      <c r="I78" s="29">
        <v>61.829166772000001</v>
      </c>
      <c r="J78" s="29">
        <v>1151.8394782319999</v>
      </c>
      <c r="K78" s="29">
        <v>790.68299520599999</v>
      </c>
      <c r="L78" s="19">
        <v>35506.984067956</v>
      </c>
      <c r="M78" s="81">
        <v>0.68645241819602143</v>
      </c>
      <c r="N78" s="55">
        <v>48822.208027310997</v>
      </c>
      <c r="O78" s="19">
        <v>0</v>
      </c>
      <c r="P78" s="19">
        <v>0</v>
      </c>
      <c r="Q78" s="19">
        <v>0</v>
      </c>
      <c r="R78" s="19">
        <v>0</v>
      </c>
      <c r="S78" s="78">
        <v>0</v>
      </c>
      <c r="T78" s="19">
        <v>0</v>
      </c>
      <c r="U78" s="19">
        <v>-0.77946241299999997</v>
      </c>
      <c r="V78" s="19">
        <v>0</v>
      </c>
      <c r="W78" s="19">
        <v>0.14252858199999999</v>
      </c>
      <c r="X78" s="19">
        <v>0</v>
      </c>
      <c r="Y78" s="19">
        <v>0</v>
      </c>
      <c r="Z78" s="19">
        <v>0</v>
      </c>
      <c r="AA78" s="50">
        <v>-3.3229705329999999</v>
      </c>
      <c r="AB78" s="48">
        <f t="shared" si="1"/>
        <v>48818.885056777995</v>
      </c>
      <c r="AC78" s="18">
        <v>73</v>
      </c>
    </row>
    <row r="79" spans="1:29" s="17" customFormat="1" x14ac:dyDescent="0.25">
      <c r="A79" s="18">
        <v>74</v>
      </c>
      <c r="B79" s="86" t="s">
        <v>205</v>
      </c>
      <c r="C79" s="85">
        <f>VLOOKUP(B79,'UOG List'!C:G,5,FALSE)</f>
        <v>4.2</v>
      </c>
      <c r="D79" s="29">
        <v>0</v>
      </c>
      <c r="E79" s="19">
        <v>0</v>
      </c>
      <c r="F79" s="29">
        <v>0</v>
      </c>
      <c r="G79" s="19">
        <v>0</v>
      </c>
      <c r="H79" s="29">
        <v>0</v>
      </c>
      <c r="I79" s="29">
        <v>0</v>
      </c>
      <c r="J79" s="29">
        <v>0</v>
      </c>
      <c r="K79" s="29">
        <v>0</v>
      </c>
      <c r="L79" s="19">
        <v>0</v>
      </c>
      <c r="M79" s="81">
        <v>0</v>
      </c>
      <c r="N79" s="55">
        <v>0</v>
      </c>
      <c r="O79" s="19">
        <v>0</v>
      </c>
      <c r="P79" s="19">
        <v>0</v>
      </c>
      <c r="Q79" s="19">
        <v>0</v>
      </c>
      <c r="R79" s="19">
        <v>0</v>
      </c>
      <c r="S79" s="78">
        <v>0</v>
      </c>
      <c r="T79" s="19">
        <v>0</v>
      </c>
      <c r="U79" s="19">
        <v>0</v>
      </c>
      <c r="V79" s="19">
        <v>0</v>
      </c>
      <c r="W79" s="19">
        <v>0</v>
      </c>
      <c r="X79" s="19">
        <v>0</v>
      </c>
      <c r="Y79" s="19">
        <v>0</v>
      </c>
      <c r="Z79" s="19">
        <v>0</v>
      </c>
      <c r="AA79" s="50">
        <v>0</v>
      </c>
      <c r="AB79" s="48">
        <f t="shared" si="1"/>
        <v>0</v>
      </c>
      <c r="AC79" s="18">
        <v>74</v>
      </c>
    </row>
    <row r="80" spans="1:29" s="17" customFormat="1" x14ac:dyDescent="0.25">
      <c r="A80" s="18">
        <v>75</v>
      </c>
      <c r="B80" s="86" t="s">
        <v>206</v>
      </c>
      <c r="C80" s="85">
        <f>VLOOKUP(B80,'UOG List'!C:G,5,FALSE)</f>
        <v>13</v>
      </c>
      <c r="D80" s="29">
        <v>0</v>
      </c>
      <c r="E80" s="19">
        <v>0</v>
      </c>
      <c r="F80" s="29">
        <v>0</v>
      </c>
      <c r="G80" s="19">
        <v>0</v>
      </c>
      <c r="H80" s="29">
        <v>0</v>
      </c>
      <c r="I80" s="29">
        <v>0</v>
      </c>
      <c r="J80" s="29">
        <v>0</v>
      </c>
      <c r="K80" s="29">
        <v>0</v>
      </c>
      <c r="L80" s="19">
        <v>0</v>
      </c>
      <c r="M80" s="81">
        <v>0</v>
      </c>
      <c r="N80" s="55">
        <v>0</v>
      </c>
      <c r="O80" s="19">
        <v>0</v>
      </c>
      <c r="P80" s="19">
        <v>0</v>
      </c>
      <c r="Q80" s="19">
        <v>0</v>
      </c>
      <c r="R80" s="19">
        <v>0</v>
      </c>
      <c r="S80" s="78">
        <v>0</v>
      </c>
      <c r="T80" s="19">
        <v>0</v>
      </c>
      <c r="U80" s="19">
        <v>0</v>
      </c>
      <c r="V80" s="19">
        <v>0</v>
      </c>
      <c r="W80" s="19">
        <v>0</v>
      </c>
      <c r="X80" s="19">
        <v>0</v>
      </c>
      <c r="Y80" s="19">
        <v>0</v>
      </c>
      <c r="Z80" s="19">
        <v>0</v>
      </c>
      <c r="AA80" s="50">
        <v>0</v>
      </c>
      <c r="AB80" s="48">
        <f t="shared" si="1"/>
        <v>0</v>
      </c>
      <c r="AC80" s="18">
        <v>75</v>
      </c>
    </row>
    <row r="81" spans="1:29" s="17" customFormat="1" x14ac:dyDescent="0.25">
      <c r="A81" s="18">
        <v>76</v>
      </c>
      <c r="B81" s="86" t="s">
        <v>207</v>
      </c>
      <c r="C81" s="85">
        <f>VLOOKUP(B81,'UOG List'!C:G,5,FALSE)</f>
        <v>12.8</v>
      </c>
      <c r="D81" s="29">
        <v>0</v>
      </c>
      <c r="E81" s="19">
        <v>0</v>
      </c>
      <c r="F81" s="29">
        <v>0</v>
      </c>
      <c r="G81" s="19">
        <v>0</v>
      </c>
      <c r="H81" s="29">
        <v>0</v>
      </c>
      <c r="I81" s="29">
        <v>0</v>
      </c>
      <c r="J81" s="29">
        <v>0</v>
      </c>
      <c r="K81" s="29">
        <v>0</v>
      </c>
      <c r="L81" s="19">
        <v>0</v>
      </c>
      <c r="M81" s="81">
        <v>0</v>
      </c>
      <c r="N81" s="55">
        <v>0</v>
      </c>
      <c r="O81" s="19">
        <v>0</v>
      </c>
      <c r="P81" s="19">
        <v>0</v>
      </c>
      <c r="Q81" s="19">
        <v>0</v>
      </c>
      <c r="R81" s="19">
        <v>0</v>
      </c>
      <c r="S81" s="78">
        <v>0</v>
      </c>
      <c r="T81" s="19">
        <v>0</v>
      </c>
      <c r="U81" s="19">
        <v>0</v>
      </c>
      <c r="V81" s="19">
        <v>0</v>
      </c>
      <c r="W81" s="19">
        <v>0</v>
      </c>
      <c r="X81" s="19">
        <v>0</v>
      </c>
      <c r="Y81" s="19">
        <v>0</v>
      </c>
      <c r="Z81" s="19">
        <v>0</v>
      </c>
      <c r="AA81" s="50">
        <v>0</v>
      </c>
      <c r="AB81" s="48">
        <f t="shared" si="1"/>
        <v>0</v>
      </c>
      <c r="AC81" s="18">
        <v>76</v>
      </c>
    </row>
    <row r="82" spans="1:29" s="17" customFormat="1" x14ac:dyDescent="0.25">
      <c r="A82" s="18">
        <v>77</v>
      </c>
      <c r="B82" s="86" t="s">
        <v>208</v>
      </c>
      <c r="C82" s="85">
        <f>VLOOKUP(B82,'UOG List'!C:G,5,FALSE)</f>
        <v>153.9</v>
      </c>
      <c r="D82" s="29">
        <v>0</v>
      </c>
      <c r="E82" s="19">
        <v>0</v>
      </c>
      <c r="F82" s="29">
        <v>1360.3136</v>
      </c>
      <c r="G82" s="19">
        <v>47047.385300000002</v>
      </c>
      <c r="H82" s="29">
        <v>43053.719999567998</v>
      </c>
      <c r="I82" s="29">
        <v>-7238.411647121</v>
      </c>
      <c r="J82" s="29">
        <v>35907.986361818999</v>
      </c>
      <c r="K82" s="29">
        <v>691.65100577500004</v>
      </c>
      <c r="L82" s="19">
        <v>2066.5101771949999</v>
      </c>
      <c r="M82" s="81">
        <v>1.9261759732381801E-2</v>
      </c>
      <c r="N82" s="55">
        <v>1362256.14299049</v>
      </c>
      <c r="O82" s="19">
        <v>0</v>
      </c>
      <c r="P82" s="19">
        <v>0</v>
      </c>
      <c r="Q82" s="19">
        <v>56072.918507599999</v>
      </c>
      <c r="R82" s="19">
        <v>31085.682415374999</v>
      </c>
      <c r="S82" s="78">
        <v>0.14533381766936965</v>
      </c>
      <c r="T82" s="19">
        <v>-12667.092214857001</v>
      </c>
      <c r="U82" s="19">
        <v>2665.3499296169998</v>
      </c>
      <c r="V82" s="19">
        <v>0</v>
      </c>
      <c r="W82" s="19">
        <v>-146.35756985200001</v>
      </c>
      <c r="X82" s="19">
        <v>0</v>
      </c>
      <c r="Y82" s="19">
        <v>0</v>
      </c>
      <c r="Z82" s="19">
        <v>0</v>
      </c>
      <c r="AA82" s="50">
        <v>77382.724845492994</v>
      </c>
      <c r="AB82" s="48">
        <f t="shared" si="1"/>
        <v>1439638.8678359829</v>
      </c>
      <c r="AC82" s="18">
        <v>77</v>
      </c>
    </row>
    <row r="83" spans="1:29" s="17" customFormat="1" x14ac:dyDescent="0.25">
      <c r="A83" s="18">
        <v>78</v>
      </c>
      <c r="B83" s="86" t="s">
        <v>209</v>
      </c>
      <c r="C83" s="85">
        <f>VLOOKUP(B83,'UOG List'!C:G,5,FALSE)</f>
        <v>6.4</v>
      </c>
      <c r="D83" s="29">
        <v>0</v>
      </c>
      <c r="E83" s="19">
        <v>0</v>
      </c>
      <c r="F83" s="29">
        <v>0</v>
      </c>
      <c r="G83" s="19">
        <v>0</v>
      </c>
      <c r="H83" s="29">
        <v>0</v>
      </c>
      <c r="I83" s="29">
        <v>0</v>
      </c>
      <c r="J83" s="29">
        <v>0</v>
      </c>
      <c r="K83" s="29">
        <v>0</v>
      </c>
      <c r="L83" s="19">
        <v>0</v>
      </c>
      <c r="M83" s="81">
        <v>0</v>
      </c>
      <c r="N83" s="55">
        <v>0</v>
      </c>
      <c r="O83" s="19">
        <v>0</v>
      </c>
      <c r="P83" s="19">
        <v>0</v>
      </c>
      <c r="Q83" s="19">
        <v>0</v>
      </c>
      <c r="R83" s="19">
        <v>0</v>
      </c>
      <c r="S83" s="78">
        <v>0</v>
      </c>
      <c r="T83" s="19">
        <v>0</v>
      </c>
      <c r="U83" s="19">
        <v>0</v>
      </c>
      <c r="V83" s="19">
        <v>0</v>
      </c>
      <c r="W83" s="19">
        <v>0</v>
      </c>
      <c r="X83" s="19">
        <v>0</v>
      </c>
      <c r="Y83" s="19">
        <v>0</v>
      </c>
      <c r="Z83" s="19">
        <v>0</v>
      </c>
      <c r="AA83" s="50">
        <v>0</v>
      </c>
      <c r="AB83" s="48">
        <f t="shared" si="1"/>
        <v>0</v>
      </c>
      <c r="AC83" s="18">
        <v>78</v>
      </c>
    </row>
    <row r="84" spans="1:29" s="17" customFormat="1" x14ac:dyDescent="0.25">
      <c r="A84" s="18">
        <v>79</v>
      </c>
      <c r="B84" s="86" t="s">
        <v>210</v>
      </c>
      <c r="C84" s="85">
        <f>VLOOKUP(B84,'UOG List'!C:G,5,FALSE)</f>
        <v>11.5</v>
      </c>
      <c r="D84" s="29">
        <v>0</v>
      </c>
      <c r="E84" s="19">
        <v>0</v>
      </c>
      <c r="F84" s="29">
        <v>0</v>
      </c>
      <c r="G84" s="19">
        <v>0</v>
      </c>
      <c r="H84" s="29">
        <v>0</v>
      </c>
      <c r="I84" s="29">
        <v>0</v>
      </c>
      <c r="J84" s="29">
        <v>0</v>
      </c>
      <c r="K84" s="29">
        <v>0</v>
      </c>
      <c r="L84" s="19">
        <v>0</v>
      </c>
      <c r="M84" s="81">
        <v>0</v>
      </c>
      <c r="N84" s="55">
        <v>0</v>
      </c>
      <c r="O84" s="19">
        <v>0</v>
      </c>
      <c r="P84" s="19">
        <v>0</v>
      </c>
      <c r="Q84" s="19">
        <v>0</v>
      </c>
      <c r="R84" s="19">
        <v>0</v>
      </c>
      <c r="S84" s="78">
        <v>0</v>
      </c>
      <c r="T84" s="19">
        <v>0</v>
      </c>
      <c r="U84" s="19">
        <v>0</v>
      </c>
      <c r="V84" s="19">
        <v>0</v>
      </c>
      <c r="W84" s="19">
        <v>0</v>
      </c>
      <c r="X84" s="19">
        <v>0</v>
      </c>
      <c r="Y84" s="19">
        <v>0</v>
      </c>
      <c r="Z84" s="19">
        <v>0</v>
      </c>
      <c r="AA84" s="50">
        <v>0</v>
      </c>
      <c r="AB84" s="48">
        <f t="shared" si="1"/>
        <v>0</v>
      </c>
      <c r="AC84" s="18">
        <v>79</v>
      </c>
    </row>
    <row r="85" spans="1:29" s="17" customFormat="1" x14ac:dyDescent="0.25">
      <c r="A85" s="16">
        <v>80</v>
      </c>
      <c r="B85" s="101" t="s">
        <v>211</v>
      </c>
      <c r="C85" s="102"/>
      <c r="D85" s="30">
        <v>0</v>
      </c>
      <c r="E85" s="20">
        <v>0</v>
      </c>
      <c r="F85" s="30">
        <v>0</v>
      </c>
      <c r="G85" s="20">
        <v>0</v>
      </c>
      <c r="H85" s="30">
        <v>0</v>
      </c>
      <c r="I85" s="30">
        <v>0</v>
      </c>
      <c r="J85" s="30">
        <v>-80.539195902000003</v>
      </c>
      <c r="K85" s="30">
        <v>80.539195902000003</v>
      </c>
      <c r="L85" s="20">
        <v>-2992.3897570660001</v>
      </c>
      <c r="M85" s="80">
        <v>-1</v>
      </c>
      <c r="N85" s="53">
        <v>-2992.3897570660001</v>
      </c>
      <c r="O85" s="20">
        <v>0</v>
      </c>
      <c r="P85" s="20">
        <v>0</v>
      </c>
      <c r="Q85" s="20">
        <v>0</v>
      </c>
      <c r="R85" s="20">
        <v>0</v>
      </c>
      <c r="S85" s="77">
        <v>0</v>
      </c>
      <c r="T85" s="20">
        <v>0</v>
      </c>
      <c r="U85" s="20">
        <v>0</v>
      </c>
      <c r="V85" s="20">
        <v>0</v>
      </c>
      <c r="W85" s="20">
        <v>0</v>
      </c>
      <c r="X85" s="20">
        <v>0</v>
      </c>
      <c r="Y85" s="20">
        <v>0</v>
      </c>
      <c r="Z85" s="20">
        <v>0</v>
      </c>
      <c r="AA85" s="52">
        <v>0</v>
      </c>
      <c r="AB85" s="49">
        <f t="shared" si="1"/>
        <v>-2992.3897570660001</v>
      </c>
      <c r="AC85" s="16">
        <v>80</v>
      </c>
    </row>
    <row r="86" spans="1:29" s="17" customFormat="1" x14ac:dyDescent="0.25">
      <c r="A86" s="18">
        <v>81</v>
      </c>
      <c r="B86" s="86" t="s">
        <v>212</v>
      </c>
      <c r="C86" s="85">
        <f>VLOOKUP(B86,'UOG List'!C:G,5,FALSE)</f>
        <v>407</v>
      </c>
      <c r="D86" s="29">
        <v>0</v>
      </c>
      <c r="E86" s="19">
        <v>0</v>
      </c>
      <c r="F86" s="29">
        <v>0</v>
      </c>
      <c r="G86" s="19">
        <v>0</v>
      </c>
      <c r="H86" s="29">
        <v>0</v>
      </c>
      <c r="I86" s="29">
        <v>0</v>
      </c>
      <c r="J86" s="29">
        <v>0</v>
      </c>
      <c r="K86" s="29">
        <v>0</v>
      </c>
      <c r="L86" s="19">
        <v>0</v>
      </c>
      <c r="M86" s="81">
        <v>0</v>
      </c>
      <c r="N86" s="55">
        <v>0</v>
      </c>
      <c r="O86" s="19">
        <v>0</v>
      </c>
      <c r="P86" s="19">
        <v>0</v>
      </c>
      <c r="Q86" s="19">
        <v>0</v>
      </c>
      <c r="R86" s="19">
        <v>0</v>
      </c>
      <c r="S86" s="78">
        <v>0</v>
      </c>
      <c r="T86" s="19">
        <v>0</v>
      </c>
      <c r="U86" s="19">
        <v>0</v>
      </c>
      <c r="V86" s="19">
        <v>0</v>
      </c>
      <c r="W86" s="19">
        <v>0</v>
      </c>
      <c r="X86" s="19">
        <v>0</v>
      </c>
      <c r="Y86" s="19">
        <v>0</v>
      </c>
      <c r="Z86" s="19">
        <v>0</v>
      </c>
      <c r="AA86" s="50">
        <v>0</v>
      </c>
      <c r="AB86" s="48">
        <f t="shared" si="1"/>
        <v>0</v>
      </c>
      <c r="AC86" s="18">
        <v>81</v>
      </c>
    </row>
    <row r="87" spans="1:29" s="17" customFormat="1" x14ac:dyDescent="0.25">
      <c r="A87" s="18">
        <v>82</v>
      </c>
      <c r="B87" s="86" t="s">
        <v>213</v>
      </c>
      <c r="C87" s="85">
        <f>VLOOKUP(B87,'UOG List'!C:G,5,FALSE)</f>
        <v>340</v>
      </c>
      <c r="D87" s="29">
        <v>0</v>
      </c>
      <c r="E87" s="19">
        <v>0</v>
      </c>
      <c r="F87" s="29">
        <v>0</v>
      </c>
      <c r="G87" s="19">
        <v>0</v>
      </c>
      <c r="H87" s="29">
        <v>0</v>
      </c>
      <c r="I87" s="29">
        <v>0</v>
      </c>
      <c r="J87" s="29">
        <v>-23.939998607</v>
      </c>
      <c r="K87" s="29">
        <v>23.939998607</v>
      </c>
      <c r="L87" s="19">
        <v>-1262.36283703</v>
      </c>
      <c r="M87" s="81">
        <v>-1</v>
      </c>
      <c r="N87" s="55">
        <v>-1262.36283703</v>
      </c>
      <c r="O87" s="19">
        <v>0</v>
      </c>
      <c r="P87" s="19">
        <v>0</v>
      </c>
      <c r="Q87" s="19">
        <v>0</v>
      </c>
      <c r="R87" s="19">
        <v>0</v>
      </c>
      <c r="S87" s="78">
        <v>0</v>
      </c>
      <c r="T87" s="19">
        <v>0</v>
      </c>
      <c r="U87" s="19">
        <v>0</v>
      </c>
      <c r="V87" s="19">
        <v>0</v>
      </c>
      <c r="W87" s="19">
        <v>0</v>
      </c>
      <c r="X87" s="19">
        <v>0</v>
      </c>
      <c r="Y87" s="19">
        <v>0</v>
      </c>
      <c r="Z87" s="19">
        <v>0</v>
      </c>
      <c r="AA87" s="50">
        <v>0</v>
      </c>
      <c r="AB87" s="48">
        <f t="shared" si="1"/>
        <v>-1262.36283703</v>
      </c>
      <c r="AC87" s="18">
        <v>82</v>
      </c>
    </row>
    <row r="88" spans="1:29" s="17" customFormat="1" x14ac:dyDescent="0.25">
      <c r="A88" s="18">
        <v>83</v>
      </c>
      <c r="B88" s="86" t="s">
        <v>214</v>
      </c>
      <c r="C88" s="85">
        <f>VLOOKUP(B88,'UOG List'!C:G,5,FALSE)</f>
        <v>407</v>
      </c>
      <c r="D88" s="29">
        <v>0</v>
      </c>
      <c r="E88" s="19">
        <v>0</v>
      </c>
      <c r="F88" s="29">
        <v>0</v>
      </c>
      <c r="G88" s="19">
        <v>0</v>
      </c>
      <c r="H88" s="29">
        <v>0</v>
      </c>
      <c r="I88" s="29">
        <v>0</v>
      </c>
      <c r="J88" s="29">
        <v>0</v>
      </c>
      <c r="K88" s="29">
        <v>0</v>
      </c>
      <c r="L88" s="19">
        <v>0</v>
      </c>
      <c r="M88" s="81">
        <v>0</v>
      </c>
      <c r="N88" s="55">
        <v>0</v>
      </c>
      <c r="O88" s="19">
        <v>0</v>
      </c>
      <c r="P88" s="19">
        <v>0</v>
      </c>
      <c r="Q88" s="19">
        <v>0</v>
      </c>
      <c r="R88" s="19">
        <v>0</v>
      </c>
      <c r="S88" s="78">
        <v>0</v>
      </c>
      <c r="T88" s="19">
        <v>0</v>
      </c>
      <c r="U88" s="19">
        <v>0</v>
      </c>
      <c r="V88" s="19">
        <v>0</v>
      </c>
      <c r="W88" s="19">
        <v>0</v>
      </c>
      <c r="X88" s="19">
        <v>0</v>
      </c>
      <c r="Y88" s="19">
        <v>0</v>
      </c>
      <c r="Z88" s="19">
        <v>0</v>
      </c>
      <c r="AA88" s="50">
        <v>0</v>
      </c>
      <c r="AB88" s="48">
        <f t="shared" si="1"/>
        <v>0</v>
      </c>
      <c r="AC88" s="18">
        <v>83</v>
      </c>
    </row>
    <row r="89" spans="1:29" s="17" customFormat="1" x14ac:dyDescent="0.25">
      <c r="A89" s="18">
        <v>84</v>
      </c>
      <c r="B89" s="86" t="s">
        <v>215</v>
      </c>
      <c r="C89" s="85">
        <f>VLOOKUP(B89,'UOG List'!C:G,5,FALSE)</f>
        <v>340</v>
      </c>
      <c r="D89" s="29">
        <v>0</v>
      </c>
      <c r="E89" s="19">
        <v>0</v>
      </c>
      <c r="F89" s="29">
        <v>0</v>
      </c>
      <c r="G89" s="19">
        <v>0</v>
      </c>
      <c r="H89" s="29">
        <v>0</v>
      </c>
      <c r="I89" s="29">
        <v>0</v>
      </c>
      <c r="J89" s="29">
        <v>0</v>
      </c>
      <c r="K89" s="29">
        <v>0</v>
      </c>
      <c r="L89" s="19">
        <v>0</v>
      </c>
      <c r="M89" s="81">
        <v>0</v>
      </c>
      <c r="N89" s="55">
        <v>0</v>
      </c>
      <c r="O89" s="19">
        <v>0</v>
      </c>
      <c r="P89" s="19">
        <v>0</v>
      </c>
      <c r="Q89" s="19">
        <v>0</v>
      </c>
      <c r="R89" s="19">
        <v>0</v>
      </c>
      <c r="S89" s="78">
        <v>0</v>
      </c>
      <c r="T89" s="19">
        <v>0</v>
      </c>
      <c r="U89" s="19">
        <v>0</v>
      </c>
      <c r="V89" s="19">
        <v>0</v>
      </c>
      <c r="W89" s="19">
        <v>0</v>
      </c>
      <c r="X89" s="19">
        <v>0</v>
      </c>
      <c r="Y89" s="19">
        <v>0</v>
      </c>
      <c r="Z89" s="19">
        <v>0</v>
      </c>
      <c r="AA89" s="50">
        <v>0</v>
      </c>
      <c r="AB89" s="48">
        <f t="shared" si="1"/>
        <v>0</v>
      </c>
      <c r="AC89" s="18">
        <v>84</v>
      </c>
    </row>
    <row r="90" spans="1:29" s="17" customFormat="1" x14ac:dyDescent="0.25">
      <c r="A90" s="18">
        <v>85</v>
      </c>
      <c r="B90" s="86" t="s">
        <v>216</v>
      </c>
      <c r="C90" s="85">
        <f>VLOOKUP(B90,'UOG List'!C:G,5,FALSE)</f>
        <v>404</v>
      </c>
      <c r="D90" s="29">
        <v>0</v>
      </c>
      <c r="E90" s="19">
        <v>0</v>
      </c>
      <c r="F90" s="29">
        <v>0</v>
      </c>
      <c r="G90" s="19">
        <v>0</v>
      </c>
      <c r="H90" s="29">
        <v>0</v>
      </c>
      <c r="I90" s="29">
        <v>0</v>
      </c>
      <c r="J90" s="29">
        <v>0</v>
      </c>
      <c r="K90" s="29">
        <v>0</v>
      </c>
      <c r="L90" s="19">
        <v>0</v>
      </c>
      <c r="M90" s="81">
        <v>0</v>
      </c>
      <c r="N90" s="55">
        <v>0</v>
      </c>
      <c r="O90" s="19">
        <v>0</v>
      </c>
      <c r="P90" s="19">
        <v>0</v>
      </c>
      <c r="Q90" s="19">
        <v>0</v>
      </c>
      <c r="R90" s="19">
        <v>0</v>
      </c>
      <c r="S90" s="78">
        <v>0</v>
      </c>
      <c r="T90" s="19">
        <v>0</v>
      </c>
      <c r="U90" s="19">
        <v>0</v>
      </c>
      <c r="V90" s="19">
        <v>0</v>
      </c>
      <c r="W90" s="19">
        <v>0</v>
      </c>
      <c r="X90" s="19">
        <v>0</v>
      </c>
      <c r="Y90" s="19">
        <v>0</v>
      </c>
      <c r="Z90" s="19">
        <v>0</v>
      </c>
      <c r="AA90" s="50">
        <v>0</v>
      </c>
      <c r="AB90" s="48">
        <f t="shared" si="1"/>
        <v>0</v>
      </c>
      <c r="AC90" s="18">
        <v>85</v>
      </c>
    </row>
    <row r="91" spans="1:29" s="17" customFormat="1" x14ac:dyDescent="0.25">
      <c r="A91" s="18">
        <v>86</v>
      </c>
      <c r="B91" s="86" t="s">
        <v>217</v>
      </c>
      <c r="C91" s="85">
        <f>VLOOKUP(B91,'UOG List'!C:G,5,FALSE)</f>
        <v>340</v>
      </c>
      <c r="D91" s="29">
        <v>0</v>
      </c>
      <c r="E91" s="19">
        <v>0</v>
      </c>
      <c r="F91" s="29">
        <v>0</v>
      </c>
      <c r="G91" s="19">
        <v>0</v>
      </c>
      <c r="H91" s="29">
        <v>0</v>
      </c>
      <c r="I91" s="29">
        <v>0</v>
      </c>
      <c r="J91" s="29">
        <v>-56.599197295000003</v>
      </c>
      <c r="K91" s="29">
        <v>56.599197295000003</v>
      </c>
      <c r="L91" s="19">
        <v>-1730.0269200360001</v>
      </c>
      <c r="M91" s="81">
        <v>-1</v>
      </c>
      <c r="N91" s="55">
        <v>-1730.0269200360001</v>
      </c>
      <c r="O91" s="19">
        <v>0</v>
      </c>
      <c r="P91" s="19">
        <v>0</v>
      </c>
      <c r="Q91" s="19">
        <v>0</v>
      </c>
      <c r="R91" s="19">
        <v>0</v>
      </c>
      <c r="S91" s="78">
        <v>0</v>
      </c>
      <c r="T91" s="19">
        <v>0</v>
      </c>
      <c r="U91" s="19">
        <v>0</v>
      </c>
      <c r="V91" s="19">
        <v>0</v>
      </c>
      <c r="W91" s="19">
        <v>0</v>
      </c>
      <c r="X91" s="19">
        <v>0</v>
      </c>
      <c r="Y91" s="19">
        <v>0</v>
      </c>
      <c r="Z91" s="19">
        <v>0</v>
      </c>
      <c r="AA91" s="50">
        <v>0</v>
      </c>
      <c r="AB91" s="48">
        <f t="shared" si="1"/>
        <v>-1730.0269200360001</v>
      </c>
      <c r="AC91" s="18">
        <v>86</v>
      </c>
    </row>
    <row r="92" spans="1:29" s="17" customFormat="1" x14ac:dyDescent="0.25">
      <c r="A92" s="16">
        <v>87</v>
      </c>
      <c r="B92" s="101" t="s">
        <v>218</v>
      </c>
      <c r="C92" s="102"/>
      <c r="D92" s="30">
        <v>0</v>
      </c>
      <c r="E92" s="20">
        <v>0</v>
      </c>
      <c r="F92" s="30">
        <v>0</v>
      </c>
      <c r="G92" s="20">
        <v>0</v>
      </c>
      <c r="H92" s="30">
        <v>1684915.200000576</v>
      </c>
      <c r="I92" s="30">
        <v>9.2191972109999991</v>
      </c>
      <c r="J92" s="30">
        <v>1685377.3479185519</v>
      </c>
      <c r="K92" s="30">
        <v>2234.114820625</v>
      </c>
      <c r="L92" s="20">
        <v>7939.8068789680001</v>
      </c>
      <c r="M92" s="80">
        <v>1.3255873074265185E-3</v>
      </c>
      <c r="N92" s="53">
        <v>68114562.709364101</v>
      </c>
      <c r="O92" s="20">
        <v>0</v>
      </c>
      <c r="P92" s="20">
        <v>0</v>
      </c>
      <c r="Q92" s="20">
        <v>0</v>
      </c>
      <c r="R92" s="20">
        <v>0</v>
      </c>
      <c r="S92" s="77">
        <v>0</v>
      </c>
      <c r="T92" s="20">
        <v>0</v>
      </c>
      <c r="U92" s="20">
        <v>2.602652049</v>
      </c>
      <c r="V92" s="20">
        <v>0</v>
      </c>
      <c r="W92" s="20">
        <v>-329.30644827999998</v>
      </c>
      <c r="X92" s="20">
        <v>0</v>
      </c>
      <c r="Y92" s="20">
        <v>0</v>
      </c>
      <c r="Z92" s="20">
        <v>-672198.11379336601</v>
      </c>
      <c r="AA92" s="52">
        <v>-672789.99423346203</v>
      </c>
      <c r="AB92" s="49">
        <f t="shared" si="1"/>
        <v>67441772.715130642</v>
      </c>
      <c r="AC92" s="16">
        <v>87</v>
      </c>
    </row>
    <row r="93" spans="1:29" s="17" customFormat="1" x14ac:dyDescent="0.25">
      <c r="A93" s="18">
        <v>88</v>
      </c>
      <c r="B93" s="86" t="s">
        <v>219</v>
      </c>
      <c r="C93" s="85">
        <f>VLOOKUP(B93,'UOG List'!C:G,5,FALSE)</f>
        <v>1150</v>
      </c>
      <c r="D93" s="29">
        <v>0</v>
      </c>
      <c r="E93" s="19">
        <v>0</v>
      </c>
      <c r="F93" s="29">
        <v>0</v>
      </c>
      <c r="G93" s="19">
        <v>0</v>
      </c>
      <c r="H93" s="29">
        <v>847908.00000028801</v>
      </c>
      <c r="I93" s="29">
        <v>3.3319263889999999</v>
      </c>
      <c r="J93" s="29">
        <v>848141.61919757805</v>
      </c>
      <c r="K93" s="29">
        <v>1024.1069302389999</v>
      </c>
      <c r="L93" s="19">
        <v>5726.3851544520003</v>
      </c>
      <c r="M93" s="81">
        <v>1.2074716144786074E-3</v>
      </c>
      <c r="N93" s="55">
        <v>34215893.482274599</v>
      </c>
      <c r="O93" s="19">
        <v>0</v>
      </c>
      <c r="P93" s="19">
        <v>0</v>
      </c>
      <c r="Q93" s="19">
        <v>0</v>
      </c>
      <c r="R93" s="19">
        <v>0</v>
      </c>
      <c r="S93" s="78">
        <v>0</v>
      </c>
      <c r="T93" s="19">
        <v>0</v>
      </c>
      <c r="U93" s="19">
        <v>2.5775962950000002</v>
      </c>
      <c r="V93" s="19">
        <v>0</v>
      </c>
      <c r="W93" s="19">
        <v>-138.92878340999999</v>
      </c>
      <c r="X93" s="19">
        <v>0</v>
      </c>
      <c r="Y93" s="19">
        <v>0</v>
      </c>
      <c r="Z93" s="19">
        <v>-672198.11379336601</v>
      </c>
      <c r="AA93" s="50">
        <v>-672459.68423527805</v>
      </c>
      <c r="AB93" s="48">
        <f t="shared" si="1"/>
        <v>33543433.798039321</v>
      </c>
      <c r="AC93" s="18">
        <v>88</v>
      </c>
    </row>
    <row r="94" spans="1:29" s="17" customFormat="1" x14ac:dyDescent="0.25">
      <c r="A94" s="18">
        <v>89</v>
      </c>
      <c r="B94" s="86" t="s">
        <v>220</v>
      </c>
      <c r="C94" s="85">
        <f>VLOOKUP(B94,'UOG List'!C:G,5,FALSE)</f>
        <v>1150</v>
      </c>
      <c r="D94" s="29">
        <v>0</v>
      </c>
      <c r="E94" s="19">
        <v>0</v>
      </c>
      <c r="F94" s="29">
        <v>0</v>
      </c>
      <c r="G94" s="19">
        <v>0</v>
      </c>
      <c r="H94" s="29">
        <v>837007.20000028796</v>
      </c>
      <c r="I94" s="29">
        <v>5.8872708219999996</v>
      </c>
      <c r="J94" s="29">
        <v>837235.72872097394</v>
      </c>
      <c r="K94" s="29">
        <v>1210.0078903860001</v>
      </c>
      <c r="L94" s="19">
        <v>2213.4217245159998</v>
      </c>
      <c r="M94" s="81">
        <v>1.4452415835555677E-3</v>
      </c>
      <c r="N94" s="55">
        <v>33898669.227089502</v>
      </c>
      <c r="O94" s="19">
        <v>0</v>
      </c>
      <c r="P94" s="19">
        <v>0</v>
      </c>
      <c r="Q94" s="19">
        <v>0</v>
      </c>
      <c r="R94" s="19">
        <v>0</v>
      </c>
      <c r="S94" s="78">
        <v>0</v>
      </c>
      <c r="T94" s="19">
        <v>0</v>
      </c>
      <c r="U94" s="19">
        <v>2.5055754E-2</v>
      </c>
      <c r="V94" s="19">
        <v>0</v>
      </c>
      <c r="W94" s="19">
        <v>-190.37766486999999</v>
      </c>
      <c r="X94" s="19">
        <v>0</v>
      </c>
      <c r="Y94" s="19">
        <v>0</v>
      </c>
      <c r="Z94" s="19">
        <v>0</v>
      </c>
      <c r="AA94" s="50">
        <v>-330.30999818399999</v>
      </c>
      <c r="AB94" s="48">
        <f t="shared" si="1"/>
        <v>33898338.917091317</v>
      </c>
      <c r="AC94" s="18">
        <v>89</v>
      </c>
    </row>
    <row r="95" spans="1:29" s="17" customFormat="1" x14ac:dyDescent="0.25">
      <c r="A95" s="16">
        <v>90</v>
      </c>
      <c r="B95" s="101" t="s">
        <v>221</v>
      </c>
      <c r="C95" s="102"/>
      <c r="D95" s="30">
        <v>0</v>
      </c>
      <c r="E95" s="20">
        <v>0</v>
      </c>
      <c r="F95" s="30">
        <v>0</v>
      </c>
      <c r="G95" s="20">
        <v>0</v>
      </c>
      <c r="H95" s="30">
        <v>578329.85000368208</v>
      </c>
      <c r="I95" s="30">
        <v>-22895.991190097004</v>
      </c>
      <c r="J95" s="30">
        <v>557166.61716966494</v>
      </c>
      <c r="K95" s="30">
        <v>10154.715836273001</v>
      </c>
      <c r="L95" s="20">
        <v>8072.2023161679972</v>
      </c>
      <c r="M95" s="80">
        <v>1.8225635785319761E-2</v>
      </c>
      <c r="N95" s="53">
        <v>24197706.851786621</v>
      </c>
      <c r="O95" s="20">
        <v>19438.565898524997</v>
      </c>
      <c r="P95" s="20">
        <v>0</v>
      </c>
      <c r="Q95" s="20">
        <v>3291.2647450250001</v>
      </c>
      <c r="R95" s="20">
        <v>89935.417648325005</v>
      </c>
      <c r="S95" s="77">
        <v>3.1314768996674132E-2</v>
      </c>
      <c r="T95" s="20">
        <v>-3528.0862242130002</v>
      </c>
      <c r="U95" s="20">
        <v>-7520.108994966</v>
      </c>
      <c r="V95" s="20">
        <v>13775.363315409</v>
      </c>
      <c r="W95" s="20">
        <v>-285.20891029900002</v>
      </c>
      <c r="X95" s="20">
        <v>0</v>
      </c>
      <c r="Y95" s="20">
        <v>0</v>
      </c>
      <c r="Z95" s="20">
        <v>-1025520.5325817859</v>
      </c>
      <c r="AA95" s="52">
        <v>-912592.57089227904</v>
      </c>
      <c r="AB95" s="49">
        <f t="shared" si="1"/>
        <v>23285114.280894343</v>
      </c>
      <c r="AC95" s="16">
        <v>90</v>
      </c>
    </row>
    <row r="96" spans="1:29" s="17" customFormat="1" x14ac:dyDescent="0.25">
      <c r="A96" s="18">
        <v>91</v>
      </c>
      <c r="B96" s="86" t="s">
        <v>222</v>
      </c>
      <c r="C96" s="85">
        <f>VLOOKUP(B96,'UOG List'!C:G,5,FALSE)</f>
        <v>97.62</v>
      </c>
      <c r="D96" s="29">
        <v>0</v>
      </c>
      <c r="E96" s="19">
        <v>0</v>
      </c>
      <c r="F96" s="29">
        <v>0</v>
      </c>
      <c r="G96" s="19">
        <v>0</v>
      </c>
      <c r="H96" s="29">
        <v>14978.050003054999</v>
      </c>
      <c r="I96" s="29">
        <v>10281.564933401</v>
      </c>
      <c r="J96" s="29">
        <v>25262.466233814001</v>
      </c>
      <c r="K96" s="29">
        <v>1132.8505962439999</v>
      </c>
      <c r="L96" s="19">
        <v>-9203.8178213120009</v>
      </c>
      <c r="M96" s="81">
        <v>4.4843230496936635E-2</v>
      </c>
      <c r="N96" s="55">
        <v>1190989.9382948801</v>
      </c>
      <c r="O96" s="19">
        <v>0</v>
      </c>
      <c r="P96" s="19">
        <v>0</v>
      </c>
      <c r="Q96" s="19">
        <v>0</v>
      </c>
      <c r="R96" s="19">
        <v>0</v>
      </c>
      <c r="S96" s="78">
        <v>0</v>
      </c>
      <c r="T96" s="19">
        <v>0</v>
      </c>
      <c r="U96" s="19">
        <v>-858.92305593200001</v>
      </c>
      <c r="V96" s="19">
        <v>0</v>
      </c>
      <c r="W96" s="19">
        <v>-50.787137915999999</v>
      </c>
      <c r="X96" s="19">
        <v>0</v>
      </c>
      <c r="Y96" s="19">
        <v>0</v>
      </c>
      <c r="Z96" s="19">
        <v>-51625.175270537999</v>
      </c>
      <c r="AA96" s="50">
        <v>-52874.442742250998</v>
      </c>
      <c r="AB96" s="48">
        <f t="shared" si="1"/>
        <v>1138115.495552629</v>
      </c>
      <c r="AC96" s="18">
        <v>91</v>
      </c>
    </row>
    <row r="97" spans="1:29" s="17" customFormat="1" x14ac:dyDescent="0.25">
      <c r="A97" s="18">
        <v>92</v>
      </c>
      <c r="B97" s="86" t="s">
        <v>223</v>
      </c>
      <c r="C97" s="85">
        <f>VLOOKUP(B97,'UOG List'!C:G,5,FALSE)</f>
        <v>65.08</v>
      </c>
      <c r="D97" s="29">
        <v>0</v>
      </c>
      <c r="E97" s="19">
        <v>0</v>
      </c>
      <c r="F97" s="29">
        <v>0</v>
      </c>
      <c r="G97" s="19">
        <v>0</v>
      </c>
      <c r="H97" s="29">
        <v>13064.950000632</v>
      </c>
      <c r="I97" s="29">
        <v>11711.394972755999</v>
      </c>
      <c r="J97" s="29">
        <v>24256.450324606001</v>
      </c>
      <c r="K97" s="29">
        <v>1185.4598386089999</v>
      </c>
      <c r="L97" s="19">
        <v>-25319.003835300999</v>
      </c>
      <c r="M97" s="81">
        <v>4.8871942215158205E-2</v>
      </c>
      <c r="N97" s="55">
        <v>1155186.78396164</v>
      </c>
      <c r="O97" s="19">
        <v>0</v>
      </c>
      <c r="P97" s="19">
        <v>0</v>
      </c>
      <c r="Q97" s="19">
        <v>0</v>
      </c>
      <c r="R97" s="19">
        <v>0</v>
      </c>
      <c r="S97" s="78">
        <v>0</v>
      </c>
      <c r="T97" s="19">
        <v>0</v>
      </c>
      <c r="U97" s="19">
        <v>-240.24798090300001</v>
      </c>
      <c r="V97" s="19">
        <v>0</v>
      </c>
      <c r="W97" s="19">
        <v>45.766619396999999</v>
      </c>
      <c r="X97" s="19">
        <v>0</v>
      </c>
      <c r="Y97" s="19">
        <v>0</v>
      </c>
      <c r="Z97" s="19">
        <v>-28291.182678035999</v>
      </c>
      <c r="AA97" s="50">
        <v>-29092.451642443</v>
      </c>
      <c r="AB97" s="48">
        <f t="shared" si="1"/>
        <v>1126094.332319197</v>
      </c>
      <c r="AC97" s="18">
        <v>92</v>
      </c>
    </row>
    <row r="98" spans="1:29" s="17" customFormat="1" x14ac:dyDescent="0.25">
      <c r="A98" s="18">
        <v>93</v>
      </c>
      <c r="B98" s="86" t="s">
        <v>224</v>
      </c>
      <c r="C98" s="85">
        <f>VLOOKUP(B98,'UOG List'!C:G,5,FALSE)</f>
        <v>668</v>
      </c>
      <c r="D98" s="29">
        <v>0</v>
      </c>
      <c r="E98" s="19">
        <v>0</v>
      </c>
      <c r="F98" s="29">
        <v>0</v>
      </c>
      <c r="G98" s="19">
        <v>0</v>
      </c>
      <c r="H98" s="29">
        <v>262069.130001012</v>
      </c>
      <c r="I98" s="29">
        <v>-17767.109935861001</v>
      </c>
      <c r="J98" s="29">
        <v>245149.478418443</v>
      </c>
      <c r="K98" s="29">
        <v>4069.6127762219999</v>
      </c>
      <c r="L98" s="19">
        <v>-18748.230872855998</v>
      </c>
      <c r="M98" s="81">
        <v>1.6600536140140676E-2</v>
      </c>
      <c r="N98" s="55">
        <v>11550030.258617301</v>
      </c>
      <c r="O98" s="19">
        <v>7781.1053578499996</v>
      </c>
      <c r="P98" s="19">
        <v>0</v>
      </c>
      <c r="Q98" s="19">
        <v>0</v>
      </c>
      <c r="R98" s="19">
        <v>0</v>
      </c>
      <c r="S98" s="78">
        <v>0.14142553344375547</v>
      </c>
      <c r="T98" s="19">
        <v>-1100.446976016</v>
      </c>
      <c r="U98" s="19">
        <v>-10860.572732532</v>
      </c>
      <c r="V98" s="19">
        <v>12574.799177610001</v>
      </c>
      <c r="W98" s="19">
        <v>-130.01116161300001</v>
      </c>
      <c r="X98" s="19">
        <v>0</v>
      </c>
      <c r="Y98" s="19">
        <v>0</v>
      </c>
      <c r="Z98" s="19">
        <v>-479065.14032346598</v>
      </c>
      <c r="AA98" s="50">
        <v>-471616.95042590401</v>
      </c>
      <c r="AB98" s="48">
        <f t="shared" si="1"/>
        <v>11078413.308191396</v>
      </c>
      <c r="AC98" s="18">
        <v>93</v>
      </c>
    </row>
    <row r="99" spans="1:29" s="17" customFormat="1" x14ac:dyDescent="0.25">
      <c r="A99" s="18">
        <v>94</v>
      </c>
      <c r="B99" s="86" t="s">
        <v>225</v>
      </c>
      <c r="C99" s="85">
        <f>VLOOKUP(B99,'UOG List'!C:G,5,FALSE)</f>
        <v>590</v>
      </c>
      <c r="D99" s="29">
        <v>0</v>
      </c>
      <c r="E99" s="19">
        <v>0</v>
      </c>
      <c r="F99" s="29">
        <v>0</v>
      </c>
      <c r="G99" s="19">
        <v>0</v>
      </c>
      <c r="H99" s="29">
        <v>288217.71999898303</v>
      </c>
      <c r="I99" s="29">
        <v>-27121.841160393</v>
      </c>
      <c r="J99" s="29">
        <v>262498.222192802</v>
      </c>
      <c r="K99" s="29">
        <v>3766.7926251980002</v>
      </c>
      <c r="L99" s="19">
        <v>61343.254845636999</v>
      </c>
      <c r="M99" s="81">
        <v>1.4349783376556863E-2</v>
      </c>
      <c r="N99" s="55">
        <v>10301499.8709128</v>
      </c>
      <c r="O99" s="19">
        <v>11657.460540675</v>
      </c>
      <c r="P99" s="19">
        <v>0</v>
      </c>
      <c r="Q99" s="19">
        <v>3291.2647450250001</v>
      </c>
      <c r="R99" s="19">
        <v>89935.417648325005</v>
      </c>
      <c r="S99" s="78">
        <v>2.3145913007307995E-2</v>
      </c>
      <c r="T99" s="19">
        <v>-2427.6392481970001</v>
      </c>
      <c r="U99" s="19">
        <v>4439.634774401</v>
      </c>
      <c r="V99" s="19">
        <v>1200.564137799</v>
      </c>
      <c r="W99" s="19">
        <v>-150.177230167</v>
      </c>
      <c r="X99" s="19">
        <v>0</v>
      </c>
      <c r="Y99" s="19">
        <v>0</v>
      </c>
      <c r="Z99" s="19">
        <v>-466539.034309746</v>
      </c>
      <c r="AA99" s="50">
        <v>-359008.72608168097</v>
      </c>
      <c r="AB99" s="48">
        <f t="shared" si="1"/>
        <v>9942491.1448311191</v>
      </c>
      <c r="AC99" s="18">
        <v>94</v>
      </c>
    </row>
    <row r="100" spans="1:29" s="17" customFormat="1" x14ac:dyDescent="0.25">
      <c r="A100" s="16">
        <v>95</v>
      </c>
      <c r="B100" s="101" t="s">
        <v>226</v>
      </c>
      <c r="C100" s="102"/>
      <c r="D100" s="30">
        <v>0</v>
      </c>
      <c r="E100" s="20">
        <v>0</v>
      </c>
      <c r="F100" s="30">
        <v>0</v>
      </c>
      <c r="G100" s="20">
        <v>0</v>
      </c>
      <c r="H100" s="30">
        <v>29592.380009424</v>
      </c>
      <c r="I100" s="30">
        <v>-1596.3615610610002</v>
      </c>
      <c r="J100" s="30">
        <v>27965.572358325004</v>
      </c>
      <c r="K100" s="30">
        <v>2314.0526431099997</v>
      </c>
      <c r="L100" s="20">
        <v>-13739.169869136998</v>
      </c>
      <c r="M100" s="80">
        <v>8.2746478901267156E-2</v>
      </c>
      <c r="N100" s="53">
        <v>759747.02477347001</v>
      </c>
      <c r="O100" s="20">
        <v>0</v>
      </c>
      <c r="P100" s="20">
        <v>0</v>
      </c>
      <c r="Q100" s="20">
        <v>0</v>
      </c>
      <c r="R100" s="20">
        <v>0</v>
      </c>
      <c r="S100" s="77">
        <v>0</v>
      </c>
      <c r="T100" s="20">
        <v>0</v>
      </c>
      <c r="U100" s="20">
        <v>732.50851512399993</v>
      </c>
      <c r="V100" s="20">
        <v>0</v>
      </c>
      <c r="W100" s="20">
        <v>-829.2143105130001</v>
      </c>
      <c r="X100" s="20">
        <v>0</v>
      </c>
      <c r="Y100" s="20">
        <v>0</v>
      </c>
      <c r="Z100" s="20">
        <v>0</v>
      </c>
      <c r="AA100" s="52">
        <v>-284.30940965500002</v>
      </c>
      <c r="AB100" s="49">
        <f t="shared" si="1"/>
        <v>759462.71536381496</v>
      </c>
      <c r="AC100" s="16">
        <v>95</v>
      </c>
    </row>
    <row r="101" spans="1:29" s="17" customFormat="1" x14ac:dyDescent="0.25">
      <c r="A101" s="18">
        <v>96</v>
      </c>
      <c r="B101" s="86" t="s">
        <v>227</v>
      </c>
      <c r="C101" s="85">
        <f>VLOOKUP(B101,'UOG List'!C:G,5,FALSE)</f>
        <v>20</v>
      </c>
      <c r="D101" s="29">
        <v>0</v>
      </c>
      <c r="E101" s="19">
        <v>0</v>
      </c>
      <c r="F101" s="29">
        <v>0</v>
      </c>
      <c r="G101" s="19">
        <v>0</v>
      </c>
      <c r="H101" s="29">
        <v>4115.0100012359999</v>
      </c>
      <c r="I101" s="29">
        <v>-163.342992796</v>
      </c>
      <c r="J101" s="29">
        <v>3954.824896092</v>
      </c>
      <c r="K101" s="29">
        <v>285.21431588899998</v>
      </c>
      <c r="L101" s="19">
        <v>-885.47166292999998</v>
      </c>
      <c r="M101" s="81">
        <v>7.2118064233599163E-2</v>
      </c>
      <c r="N101" s="55">
        <v>110715.69655096201</v>
      </c>
      <c r="O101" s="19">
        <v>0</v>
      </c>
      <c r="P101" s="19">
        <v>0</v>
      </c>
      <c r="Q101" s="19">
        <v>0</v>
      </c>
      <c r="R101" s="19">
        <v>0</v>
      </c>
      <c r="S101" s="78">
        <v>0</v>
      </c>
      <c r="T101" s="19">
        <v>0</v>
      </c>
      <c r="U101" s="19">
        <v>102.040660368</v>
      </c>
      <c r="V101" s="19">
        <v>0</v>
      </c>
      <c r="W101" s="19">
        <v>-105.963594461</v>
      </c>
      <c r="X101" s="19">
        <v>0</v>
      </c>
      <c r="Y101" s="19">
        <v>0</v>
      </c>
      <c r="Z101" s="19">
        <v>0</v>
      </c>
      <c r="AA101" s="50">
        <v>-24.434093425</v>
      </c>
      <c r="AB101" s="48">
        <f t="shared" si="1"/>
        <v>110691.262457537</v>
      </c>
      <c r="AC101" s="18">
        <v>96</v>
      </c>
    </row>
    <row r="102" spans="1:29" s="17" customFormat="1" x14ac:dyDescent="0.25">
      <c r="A102" s="18">
        <v>97</v>
      </c>
      <c r="B102" s="86" t="s">
        <v>228</v>
      </c>
      <c r="C102" s="85">
        <f>VLOOKUP(B102,'UOG List'!C:G,5,FALSE)</f>
        <v>15</v>
      </c>
      <c r="D102" s="29">
        <v>0</v>
      </c>
      <c r="E102" s="19">
        <v>0</v>
      </c>
      <c r="F102" s="29">
        <v>0</v>
      </c>
      <c r="G102" s="19">
        <v>0</v>
      </c>
      <c r="H102" s="29">
        <v>2502.79000116</v>
      </c>
      <c r="I102" s="29">
        <v>-105.946107189</v>
      </c>
      <c r="J102" s="29">
        <v>2416.499709403</v>
      </c>
      <c r="K102" s="29">
        <v>223.45451446499999</v>
      </c>
      <c r="L102" s="19">
        <v>-1134.740692356</v>
      </c>
      <c r="M102" s="81">
        <v>9.2470325403103307E-2</v>
      </c>
      <c r="N102" s="55">
        <v>66794.344296030002</v>
      </c>
      <c r="O102" s="19">
        <v>0</v>
      </c>
      <c r="P102" s="19">
        <v>0</v>
      </c>
      <c r="Q102" s="19">
        <v>0</v>
      </c>
      <c r="R102" s="19">
        <v>0</v>
      </c>
      <c r="S102" s="78">
        <v>0</v>
      </c>
      <c r="T102" s="19">
        <v>0</v>
      </c>
      <c r="U102" s="19">
        <v>30.226046183000001</v>
      </c>
      <c r="V102" s="19">
        <v>0</v>
      </c>
      <c r="W102" s="19">
        <v>-68.493566448999999</v>
      </c>
      <c r="X102" s="19">
        <v>0</v>
      </c>
      <c r="Y102" s="19">
        <v>0</v>
      </c>
      <c r="Z102" s="19">
        <v>0</v>
      </c>
      <c r="AA102" s="50">
        <v>-58.981948875</v>
      </c>
      <c r="AB102" s="48">
        <f t="shared" si="1"/>
        <v>66735.362347154994</v>
      </c>
      <c r="AC102" s="18">
        <v>97</v>
      </c>
    </row>
    <row r="103" spans="1:29" s="17" customFormat="1" x14ac:dyDescent="0.25">
      <c r="A103" s="18">
        <v>98</v>
      </c>
      <c r="B103" s="86" t="s">
        <v>229</v>
      </c>
      <c r="C103" s="85">
        <f>VLOOKUP(B103,'UOG List'!C:G,5,FALSE)</f>
        <v>20</v>
      </c>
      <c r="D103" s="29">
        <v>0</v>
      </c>
      <c r="E103" s="19">
        <v>0</v>
      </c>
      <c r="F103" s="29">
        <v>0</v>
      </c>
      <c r="G103" s="19">
        <v>0</v>
      </c>
      <c r="H103" s="29">
        <v>4143.8900012040003</v>
      </c>
      <c r="I103" s="29">
        <v>-263.06977394</v>
      </c>
      <c r="J103" s="29">
        <v>3808.3030564589999</v>
      </c>
      <c r="K103" s="29">
        <v>301.29775308699999</v>
      </c>
      <c r="L103" s="19">
        <v>-2062.1336524540002</v>
      </c>
      <c r="M103" s="81">
        <v>7.9116012728028484E-2</v>
      </c>
      <c r="N103" s="55">
        <v>107910.077928959</v>
      </c>
      <c r="O103" s="19">
        <v>0</v>
      </c>
      <c r="P103" s="19">
        <v>0</v>
      </c>
      <c r="Q103" s="19">
        <v>0</v>
      </c>
      <c r="R103" s="19">
        <v>0</v>
      </c>
      <c r="S103" s="78">
        <v>0</v>
      </c>
      <c r="T103" s="19">
        <v>0</v>
      </c>
      <c r="U103" s="19">
        <v>95.735607380999994</v>
      </c>
      <c r="V103" s="19">
        <v>0</v>
      </c>
      <c r="W103" s="19">
        <v>-146.338938251</v>
      </c>
      <c r="X103" s="19">
        <v>0</v>
      </c>
      <c r="Y103" s="19">
        <v>0</v>
      </c>
      <c r="Z103" s="19">
        <v>0</v>
      </c>
      <c r="AA103" s="50">
        <v>-64.207912136999994</v>
      </c>
      <c r="AB103" s="48">
        <f t="shared" si="1"/>
        <v>107845.87001682199</v>
      </c>
      <c r="AC103" s="18">
        <v>98</v>
      </c>
    </row>
    <row r="104" spans="1:29" s="17" customFormat="1" x14ac:dyDescent="0.25">
      <c r="A104" s="18">
        <v>99</v>
      </c>
      <c r="B104" s="86" t="s">
        <v>230</v>
      </c>
      <c r="C104" s="85">
        <f>VLOOKUP(B104,'UOG List'!C:G,5,FALSE)</f>
        <v>20</v>
      </c>
      <c r="D104" s="29">
        <v>0</v>
      </c>
      <c r="E104" s="19">
        <v>0</v>
      </c>
      <c r="F104" s="29">
        <v>0</v>
      </c>
      <c r="G104" s="19">
        <v>0</v>
      </c>
      <c r="H104" s="29">
        <v>3890.6000011320002</v>
      </c>
      <c r="I104" s="29">
        <v>-347.92190267000001</v>
      </c>
      <c r="J104" s="29">
        <v>3533.5012750300002</v>
      </c>
      <c r="K104" s="29">
        <v>308.77370870599998</v>
      </c>
      <c r="L104" s="19">
        <v>-1450.5941540470001</v>
      </c>
      <c r="M104" s="81">
        <v>8.7384632032820875E-2</v>
      </c>
      <c r="N104" s="55">
        <v>99061.990998698006</v>
      </c>
      <c r="O104" s="19">
        <v>0</v>
      </c>
      <c r="P104" s="19">
        <v>0</v>
      </c>
      <c r="Q104" s="19">
        <v>0</v>
      </c>
      <c r="R104" s="19">
        <v>0</v>
      </c>
      <c r="S104" s="78">
        <v>0</v>
      </c>
      <c r="T104" s="19">
        <v>0</v>
      </c>
      <c r="U104" s="19">
        <v>165.22852702500001</v>
      </c>
      <c r="V104" s="19">
        <v>0</v>
      </c>
      <c r="W104" s="19">
        <v>-115.34623462099999</v>
      </c>
      <c r="X104" s="19">
        <v>0</v>
      </c>
      <c r="Y104" s="19">
        <v>0</v>
      </c>
      <c r="Z104" s="19">
        <v>0</v>
      </c>
      <c r="AA104" s="50">
        <v>31.884048881999998</v>
      </c>
      <c r="AB104" s="48">
        <f t="shared" si="1"/>
        <v>99093.875047580004</v>
      </c>
      <c r="AC104" s="18">
        <v>99</v>
      </c>
    </row>
    <row r="105" spans="1:29" s="17" customFormat="1" x14ac:dyDescent="0.25">
      <c r="A105" s="18">
        <v>100</v>
      </c>
      <c r="B105" s="86" t="s">
        <v>231</v>
      </c>
      <c r="C105" s="85">
        <f>VLOOKUP(B105,'UOG List'!C:G,5,FALSE)</f>
        <v>19</v>
      </c>
      <c r="D105" s="29">
        <v>0</v>
      </c>
      <c r="E105" s="19">
        <v>0</v>
      </c>
      <c r="F105" s="29">
        <v>0</v>
      </c>
      <c r="G105" s="19">
        <v>0</v>
      </c>
      <c r="H105" s="29">
        <v>1956.960001188</v>
      </c>
      <c r="I105" s="29">
        <v>-111.058016569</v>
      </c>
      <c r="J105" s="29">
        <v>1925.8982935449999</v>
      </c>
      <c r="K105" s="29">
        <v>168.49023212500001</v>
      </c>
      <c r="L105" s="19">
        <v>-976.87572341700002</v>
      </c>
      <c r="M105" s="81">
        <v>8.7486568054879019E-2</v>
      </c>
      <c r="N105" s="55">
        <v>32799.229581795997</v>
      </c>
      <c r="O105" s="19">
        <v>0</v>
      </c>
      <c r="P105" s="19">
        <v>0</v>
      </c>
      <c r="Q105" s="19">
        <v>0</v>
      </c>
      <c r="R105" s="19">
        <v>0</v>
      </c>
      <c r="S105" s="78">
        <v>0</v>
      </c>
      <c r="T105" s="19">
        <v>0</v>
      </c>
      <c r="U105" s="19">
        <v>38.702830884000001</v>
      </c>
      <c r="V105" s="19">
        <v>0</v>
      </c>
      <c r="W105" s="19">
        <v>-33.037690142000002</v>
      </c>
      <c r="X105" s="19">
        <v>0</v>
      </c>
      <c r="Y105" s="19">
        <v>0</v>
      </c>
      <c r="Z105" s="19">
        <v>0</v>
      </c>
      <c r="AA105" s="50">
        <v>-0.96827046500000002</v>
      </c>
      <c r="AB105" s="48">
        <f t="shared" si="1"/>
        <v>32798.261311331</v>
      </c>
      <c r="AC105" s="18">
        <v>100</v>
      </c>
    </row>
    <row r="106" spans="1:29" s="17" customFormat="1" x14ac:dyDescent="0.25">
      <c r="A106" s="18">
        <v>101</v>
      </c>
      <c r="B106" s="86" t="s">
        <v>232</v>
      </c>
      <c r="C106" s="85">
        <f>VLOOKUP(B106,'UOG List'!C:G,5,FALSE)</f>
        <v>20</v>
      </c>
      <c r="D106" s="29">
        <v>0</v>
      </c>
      <c r="E106" s="19">
        <v>0</v>
      </c>
      <c r="F106" s="29">
        <v>0</v>
      </c>
      <c r="G106" s="19">
        <v>0</v>
      </c>
      <c r="H106" s="29">
        <v>3973.1000012159998</v>
      </c>
      <c r="I106" s="29">
        <v>-230.164310242</v>
      </c>
      <c r="J106" s="29">
        <v>3739.0995846010001</v>
      </c>
      <c r="K106" s="29">
        <v>283.73983226299998</v>
      </c>
      <c r="L106" s="19">
        <v>-835.89107733699996</v>
      </c>
      <c r="M106" s="81">
        <v>7.5884534723692817E-2</v>
      </c>
      <c r="N106" s="55">
        <v>105029.29360108799</v>
      </c>
      <c r="O106" s="19">
        <v>0</v>
      </c>
      <c r="P106" s="19">
        <v>0</v>
      </c>
      <c r="Q106" s="19">
        <v>0</v>
      </c>
      <c r="R106" s="19">
        <v>0</v>
      </c>
      <c r="S106" s="78">
        <v>0</v>
      </c>
      <c r="T106" s="19">
        <v>0</v>
      </c>
      <c r="U106" s="19">
        <v>92.983505364999999</v>
      </c>
      <c r="V106" s="19">
        <v>0</v>
      </c>
      <c r="W106" s="19">
        <v>-112.50864226100001</v>
      </c>
      <c r="X106" s="19">
        <v>0</v>
      </c>
      <c r="Y106" s="19">
        <v>0</v>
      </c>
      <c r="Z106" s="19">
        <v>0</v>
      </c>
      <c r="AA106" s="50">
        <v>-32.581115472999997</v>
      </c>
      <c r="AB106" s="48">
        <f t="shared" si="1"/>
        <v>104996.71248561499</v>
      </c>
      <c r="AC106" s="18">
        <v>101</v>
      </c>
    </row>
    <row r="107" spans="1:29" s="17" customFormat="1" x14ac:dyDescent="0.25">
      <c r="A107" s="18">
        <v>102</v>
      </c>
      <c r="B107" s="86" t="s">
        <v>233</v>
      </c>
      <c r="C107" s="85">
        <f>VLOOKUP(B107,'UOG List'!C:G,5,FALSE)</f>
        <v>20</v>
      </c>
      <c r="D107" s="29">
        <v>0</v>
      </c>
      <c r="E107" s="19">
        <v>0</v>
      </c>
      <c r="F107" s="29">
        <v>0</v>
      </c>
      <c r="G107" s="19">
        <v>0</v>
      </c>
      <c r="H107" s="29">
        <v>3795.1000011840001</v>
      </c>
      <c r="I107" s="29">
        <v>-166.42234780499999</v>
      </c>
      <c r="J107" s="29">
        <v>3639.9323156340001</v>
      </c>
      <c r="K107" s="29">
        <v>324.05171455599998</v>
      </c>
      <c r="L107" s="19">
        <v>-2957.8938922910002</v>
      </c>
      <c r="M107" s="81">
        <v>8.9026851725828568E-2</v>
      </c>
      <c r="N107" s="55">
        <v>99732.959960786</v>
      </c>
      <c r="O107" s="19">
        <v>0</v>
      </c>
      <c r="P107" s="19">
        <v>0</v>
      </c>
      <c r="Q107" s="19">
        <v>0</v>
      </c>
      <c r="R107" s="19">
        <v>0</v>
      </c>
      <c r="S107" s="78">
        <v>0</v>
      </c>
      <c r="T107" s="19">
        <v>0</v>
      </c>
      <c r="U107" s="19">
        <v>64.972360808999994</v>
      </c>
      <c r="V107" s="19">
        <v>0</v>
      </c>
      <c r="W107" s="19">
        <v>-106.186259226</v>
      </c>
      <c r="X107" s="19">
        <v>0</v>
      </c>
      <c r="Y107" s="19">
        <v>0</v>
      </c>
      <c r="Z107" s="19">
        <v>0</v>
      </c>
      <c r="AA107" s="50">
        <v>-71.614895703000002</v>
      </c>
      <c r="AB107" s="48">
        <f t="shared" si="1"/>
        <v>99661.345065083005</v>
      </c>
      <c r="AC107" s="18">
        <v>102</v>
      </c>
    </row>
    <row r="108" spans="1:29" s="17" customFormat="1" x14ac:dyDescent="0.25">
      <c r="A108" s="18">
        <v>103</v>
      </c>
      <c r="B108" s="86" t="s">
        <v>234</v>
      </c>
      <c r="C108" s="85">
        <f>VLOOKUP(B108,'UOG List'!C:G,5,FALSE)</f>
        <v>2.5</v>
      </c>
      <c r="D108" s="29">
        <v>0</v>
      </c>
      <c r="E108" s="19">
        <v>0</v>
      </c>
      <c r="F108" s="29">
        <v>0</v>
      </c>
      <c r="G108" s="19">
        <v>0</v>
      </c>
      <c r="H108" s="29">
        <v>382.699998768</v>
      </c>
      <c r="I108" s="29">
        <v>5.4002608969999999</v>
      </c>
      <c r="J108" s="29">
        <v>380.376293019</v>
      </c>
      <c r="K108" s="29">
        <v>33.100009874999998</v>
      </c>
      <c r="L108" s="19">
        <v>-374.63697997399998</v>
      </c>
      <c r="M108" s="81">
        <v>8.7019118915874799E-2</v>
      </c>
      <c r="N108" s="55">
        <v>11283.136523552999</v>
      </c>
      <c r="O108" s="19">
        <v>0</v>
      </c>
      <c r="P108" s="19">
        <v>0</v>
      </c>
      <c r="Q108" s="19">
        <v>0</v>
      </c>
      <c r="R108" s="19">
        <v>0</v>
      </c>
      <c r="S108" s="78">
        <v>0</v>
      </c>
      <c r="T108" s="19">
        <v>0</v>
      </c>
      <c r="U108" s="19">
        <v>-1.3233933529999999</v>
      </c>
      <c r="V108" s="19">
        <v>0</v>
      </c>
      <c r="W108" s="19">
        <v>-15.884698650000001</v>
      </c>
      <c r="X108" s="19">
        <v>0</v>
      </c>
      <c r="Y108" s="19">
        <v>0</v>
      </c>
      <c r="Z108" s="19">
        <v>0</v>
      </c>
      <c r="AA108" s="50">
        <v>-18.559841170999999</v>
      </c>
      <c r="AB108" s="48">
        <f t="shared" si="1"/>
        <v>11264.576682381999</v>
      </c>
      <c r="AC108" s="18">
        <v>103</v>
      </c>
    </row>
    <row r="109" spans="1:29" s="17" customFormat="1" x14ac:dyDescent="0.25">
      <c r="A109" s="18">
        <v>104</v>
      </c>
      <c r="B109" s="86" t="s">
        <v>235</v>
      </c>
      <c r="C109" s="85">
        <f>VLOOKUP(B109,'UOG List'!C:G,5,FALSE)</f>
        <v>10</v>
      </c>
      <c r="D109" s="29">
        <v>0</v>
      </c>
      <c r="E109" s="19">
        <v>0</v>
      </c>
      <c r="F109" s="29">
        <v>0</v>
      </c>
      <c r="G109" s="19">
        <v>0</v>
      </c>
      <c r="H109" s="29">
        <v>2195.4700012080002</v>
      </c>
      <c r="I109" s="29">
        <v>-128.203216242</v>
      </c>
      <c r="J109" s="29">
        <v>2042.369519888</v>
      </c>
      <c r="K109" s="29">
        <v>152.62189609199999</v>
      </c>
      <c r="L109" s="19">
        <v>-795.62733251899999</v>
      </c>
      <c r="M109" s="81">
        <v>7.472785634813503E-2</v>
      </c>
      <c r="N109" s="55">
        <v>57231.968079580998</v>
      </c>
      <c r="O109" s="19">
        <v>0</v>
      </c>
      <c r="P109" s="19">
        <v>0</v>
      </c>
      <c r="Q109" s="19">
        <v>0</v>
      </c>
      <c r="R109" s="19">
        <v>0</v>
      </c>
      <c r="S109" s="78">
        <v>0</v>
      </c>
      <c r="T109" s="19">
        <v>0</v>
      </c>
      <c r="U109" s="19">
        <v>53.067098803999997</v>
      </c>
      <c r="V109" s="19">
        <v>0</v>
      </c>
      <c r="W109" s="19">
        <v>-68.043215215000004</v>
      </c>
      <c r="X109" s="19">
        <v>0</v>
      </c>
      <c r="Y109" s="19">
        <v>0</v>
      </c>
      <c r="Z109" s="19">
        <v>0</v>
      </c>
      <c r="AA109" s="50">
        <v>-22.172030791000001</v>
      </c>
      <c r="AB109" s="48">
        <f t="shared" si="1"/>
        <v>57209.796048789998</v>
      </c>
      <c r="AC109" s="18">
        <v>104</v>
      </c>
    </row>
    <row r="110" spans="1:29" s="17" customFormat="1" x14ac:dyDescent="0.25">
      <c r="A110" s="18">
        <v>105</v>
      </c>
      <c r="B110" s="86" t="s">
        <v>236</v>
      </c>
      <c r="C110" s="85">
        <f>VLOOKUP(B110,'UOG List'!C:G,5,FALSE)</f>
        <v>15</v>
      </c>
      <c r="D110" s="29">
        <v>0</v>
      </c>
      <c r="E110" s="19">
        <v>0</v>
      </c>
      <c r="F110" s="29">
        <v>0</v>
      </c>
      <c r="G110" s="19">
        <v>0</v>
      </c>
      <c r="H110" s="29">
        <v>2636.7600011280001</v>
      </c>
      <c r="I110" s="29">
        <v>-85.633154504999993</v>
      </c>
      <c r="J110" s="29">
        <v>2524.7674146539998</v>
      </c>
      <c r="K110" s="29">
        <v>233.30866605200001</v>
      </c>
      <c r="L110" s="19">
        <v>-2265.3047018120001</v>
      </c>
      <c r="M110" s="81">
        <v>9.2407983681131747E-2</v>
      </c>
      <c r="N110" s="55">
        <v>69188.327252016999</v>
      </c>
      <c r="O110" s="19">
        <v>0</v>
      </c>
      <c r="P110" s="19">
        <v>0</v>
      </c>
      <c r="Q110" s="19">
        <v>0</v>
      </c>
      <c r="R110" s="19">
        <v>0</v>
      </c>
      <c r="S110" s="78">
        <v>0</v>
      </c>
      <c r="T110" s="19">
        <v>0</v>
      </c>
      <c r="U110" s="19">
        <v>90.875271658000003</v>
      </c>
      <c r="V110" s="19">
        <v>0</v>
      </c>
      <c r="W110" s="19">
        <v>-57.411471237000001</v>
      </c>
      <c r="X110" s="19">
        <v>0</v>
      </c>
      <c r="Y110" s="19">
        <v>0</v>
      </c>
      <c r="Z110" s="19">
        <v>0</v>
      </c>
      <c r="AA110" s="50">
        <v>-22.673350497000001</v>
      </c>
      <c r="AB110" s="48">
        <f t="shared" si="1"/>
        <v>69165.653901519996</v>
      </c>
      <c r="AC110" s="18">
        <v>105</v>
      </c>
    </row>
    <row r="111" spans="1:29" s="17" customFormat="1" x14ac:dyDescent="0.25">
      <c r="A111" s="16">
        <v>106</v>
      </c>
      <c r="B111" s="101" t="s">
        <v>237</v>
      </c>
      <c r="C111" s="102"/>
      <c r="D111" s="30">
        <v>0</v>
      </c>
      <c r="E111" s="20">
        <v>0</v>
      </c>
      <c r="F111" s="30">
        <v>0</v>
      </c>
      <c r="G111" s="20">
        <v>0</v>
      </c>
      <c r="H111" s="30">
        <v>817.20000031199993</v>
      </c>
      <c r="I111" s="30">
        <v>-42.708073626000001</v>
      </c>
      <c r="J111" s="30">
        <v>746.38300000000004</v>
      </c>
      <c r="K111" s="30">
        <v>76.189373582000002</v>
      </c>
      <c r="L111" s="20">
        <v>-2477.8641499310002</v>
      </c>
      <c r="M111" s="80">
        <v>0.10207812019030443</v>
      </c>
      <c r="N111" s="53">
        <v>28847.33387504</v>
      </c>
      <c r="O111" s="20">
        <v>0</v>
      </c>
      <c r="P111" s="20">
        <v>0</v>
      </c>
      <c r="Q111" s="20">
        <v>0</v>
      </c>
      <c r="R111" s="20">
        <v>0</v>
      </c>
      <c r="S111" s="77">
        <v>0</v>
      </c>
      <c r="T111" s="20">
        <v>0</v>
      </c>
      <c r="U111" s="20">
        <v>1.053134596</v>
      </c>
      <c r="V111" s="20">
        <v>0</v>
      </c>
      <c r="W111" s="20">
        <v>8.0335118429999994</v>
      </c>
      <c r="X111" s="20">
        <v>0</v>
      </c>
      <c r="Y111" s="20">
        <v>0</v>
      </c>
      <c r="Z111" s="20">
        <v>0</v>
      </c>
      <c r="AA111" s="52">
        <v>-29.686595757999999</v>
      </c>
      <c r="AB111" s="49">
        <f t="shared" si="1"/>
        <v>28817.647279281999</v>
      </c>
      <c r="AC111" s="16">
        <v>106</v>
      </c>
    </row>
    <row r="112" spans="1:29" s="17" customFormat="1" x14ac:dyDescent="0.25">
      <c r="A112" s="18">
        <v>107</v>
      </c>
      <c r="B112" s="86" t="s">
        <v>238</v>
      </c>
      <c r="C112" s="85">
        <f>VLOOKUP(B112,'UOG List'!C:G,5,FALSE)</f>
        <v>1.4</v>
      </c>
      <c r="D112" s="29">
        <v>0</v>
      </c>
      <c r="E112" s="19">
        <v>0</v>
      </c>
      <c r="F112" s="29">
        <v>0</v>
      </c>
      <c r="G112" s="19">
        <v>0</v>
      </c>
      <c r="H112" s="29">
        <v>691.96000029599998</v>
      </c>
      <c r="I112" s="29">
        <v>-42.708073626000001</v>
      </c>
      <c r="J112" s="29">
        <v>627.95699999999999</v>
      </c>
      <c r="K112" s="29">
        <v>68.376248571999994</v>
      </c>
      <c r="L112" s="19">
        <v>-2195.3606691670002</v>
      </c>
      <c r="M112" s="81">
        <v>0.10888683233406109</v>
      </c>
      <c r="N112" s="55">
        <v>23682.286309659001</v>
      </c>
      <c r="O112" s="19">
        <v>0</v>
      </c>
      <c r="P112" s="19">
        <v>0</v>
      </c>
      <c r="Q112" s="19">
        <v>0</v>
      </c>
      <c r="R112" s="19">
        <v>0</v>
      </c>
      <c r="S112" s="78">
        <v>0</v>
      </c>
      <c r="T112" s="19">
        <v>0</v>
      </c>
      <c r="U112" s="19">
        <v>1.0941087039999999</v>
      </c>
      <c r="V112" s="19">
        <v>0</v>
      </c>
      <c r="W112" s="19">
        <v>8.8499123629999996</v>
      </c>
      <c r="X112" s="19">
        <v>0</v>
      </c>
      <c r="Y112" s="19">
        <v>0</v>
      </c>
      <c r="Z112" s="19">
        <v>0</v>
      </c>
      <c r="AA112" s="50">
        <v>-25.233744218999998</v>
      </c>
      <c r="AB112" s="48">
        <f t="shared" si="1"/>
        <v>23657.052565440001</v>
      </c>
      <c r="AC112" s="18">
        <v>107</v>
      </c>
    </row>
    <row r="113" spans="1:30" s="17" customFormat="1" x14ac:dyDescent="0.25">
      <c r="A113" s="18">
        <v>108</v>
      </c>
      <c r="B113" s="86" t="s">
        <v>239</v>
      </c>
      <c r="C113" s="85">
        <f>VLOOKUP(B113,'UOG List'!C:G,5,FALSE)</f>
        <v>1.6</v>
      </c>
      <c r="D113" s="29">
        <v>0</v>
      </c>
      <c r="E113" s="19">
        <v>0</v>
      </c>
      <c r="F113" s="29">
        <v>0</v>
      </c>
      <c r="G113" s="19">
        <v>0</v>
      </c>
      <c r="H113" s="29">
        <v>125.240000016</v>
      </c>
      <c r="I113" s="29">
        <v>0</v>
      </c>
      <c r="J113" s="29">
        <v>118.426</v>
      </c>
      <c r="K113" s="29">
        <v>7.8131250100000003</v>
      </c>
      <c r="L113" s="19">
        <v>-282.50348076400002</v>
      </c>
      <c r="M113" s="81">
        <v>6.5974743806258757E-2</v>
      </c>
      <c r="N113" s="55">
        <v>5165.0475653809999</v>
      </c>
      <c r="O113" s="19">
        <v>0</v>
      </c>
      <c r="P113" s="19">
        <v>0</v>
      </c>
      <c r="Q113" s="19">
        <v>0</v>
      </c>
      <c r="R113" s="19">
        <v>0</v>
      </c>
      <c r="S113" s="78">
        <v>0</v>
      </c>
      <c r="T113" s="19">
        <v>0</v>
      </c>
      <c r="U113" s="19">
        <v>-4.0974108000000002E-2</v>
      </c>
      <c r="V113" s="19">
        <v>0</v>
      </c>
      <c r="W113" s="19">
        <v>-0.81640051999999996</v>
      </c>
      <c r="X113" s="19">
        <v>0</v>
      </c>
      <c r="Y113" s="19">
        <v>0</v>
      </c>
      <c r="Z113" s="19">
        <v>0</v>
      </c>
      <c r="AA113" s="50">
        <v>-4.4528515390000001</v>
      </c>
      <c r="AB113" s="48">
        <f t="shared" si="1"/>
        <v>5160.5947138419997</v>
      </c>
      <c r="AC113" s="18">
        <v>108</v>
      </c>
    </row>
    <row r="114" spans="1:30" s="17" customFormat="1" x14ac:dyDescent="0.25">
      <c r="A114" s="16">
        <v>109</v>
      </c>
      <c r="B114" s="101" t="s">
        <v>391</v>
      </c>
      <c r="C114" s="102"/>
      <c r="D114" s="30">
        <v>0</v>
      </c>
      <c r="E114" s="20">
        <v>0</v>
      </c>
      <c r="F114" s="30">
        <v>0</v>
      </c>
      <c r="G114" s="20">
        <v>0</v>
      </c>
      <c r="H114" s="30">
        <v>103.769999868</v>
      </c>
      <c r="I114" s="30">
        <v>-478.120379646</v>
      </c>
      <c r="J114" s="30">
        <v>-530.73750517999997</v>
      </c>
      <c r="K114" s="30">
        <v>670.5184210729999</v>
      </c>
      <c r="L114" s="20">
        <v>-7656.7767212669996</v>
      </c>
      <c r="M114" s="80">
        <v>-1.2633710912244522</v>
      </c>
      <c r="N114" s="53">
        <v>7741.883772354</v>
      </c>
      <c r="O114" s="20">
        <v>955.30730770000002</v>
      </c>
      <c r="P114" s="20">
        <v>0</v>
      </c>
      <c r="Q114" s="20">
        <v>17987.103499075001</v>
      </c>
      <c r="R114" s="20">
        <v>12726.140873625</v>
      </c>
      <c r="S114" s="77">
        <v>3.0474711067708989E-2</v>
      </c>
      <c r="T114" s="20">
        <v>-965.08996239299995</v>
      </c>
      <c r="U114" s="20">
        <v>-247.507903062</v>
      </c>
      <c r="V114" s="20">
        <v>328.110320839</v>
      </c>
      <c r="W114" s="20">
        <v>-68.852845795000007</v>
      </c>
      <c r="X114" s="20">
        <v>0</v>
      </c>
      <c r="Y114" s="20">
        <v>0</v>
      </c>
      <c r="Z114" s="20">
        <v>0</v>
      </c>
      <c r="AA114" s="52">
        <v>30840.404896296001</v>
      </c>
      <c r="AB114" s="216">
        <f t="shared" ref="AB114:AB116" si="2">AA114+N114</f>
        <v>38582.288668649999</v>
      </c>
      <c r="AC114" s="16">
        <v>109</v>
      </c>
    </row>
    <row r="115" spans="1:30" s="17" customFormat="1" x14ac:dyDescent="0.25">
      <c r="A115" s="18">
        <v>110</v>
      </c>
      <c r="B115" s="86" t="s">
        <v>340</v>
      </c>
      <c r="C115" s="85">
        <f>VLOOKUP(B115,'UOG List'!C:G,5,FALSE)</f>
        <v>1.85</v>
      </c>
      <c r="D115" s="29">
        <v>0</v>
      </c>
      <c r="E115" s="19">
        <v>0</v>
      </c>
      <c r="F115" s="29">
        <v>0</v>
      </c>
      <c r="G115" s="19">
        <v>0</v>
      </c>
      <c r="H115" s="29">
        <v>-32.899999907999998</v>
      </c>
      <c r="I115" s="29">
        <v>-99.758036907999994</v>
      </c>
      <c r="J115" s="29">
        <v>-117.111367943</v>
      </c>
      <c r="K115" s="29">
        <v>124.11730175700001</v>
      </c>
      <c r="L115" s="19">
        <v>289.934750479</v>
      </c>
      <c r="M115" s="81">
        <v>-1.0598228330610049</v>
      </c>
      <c r="N115" s="55">
        <v>-2974.0333027800002</v>
      </c>
      <c r="O115" s="19">
        <v>955.30730770000002</v>
      </c>
      <c r="P115" s="19">
        <v>0</v>
      </c>
      <c r="Q115" s="19">
        <v>10910.18184445</v>
      </c>
      <c r="R115" s="19">
        <v>6921.0986695499996</v>
      </c>
      <c r="S115" s="78">
        <v>4.217753413255533E-2</v>
      </c>
      <c r="T115" s="19">
        <v>-792.37194908399999</v>
      </c>
      <c r="U115" s="19">
        <v>-5.9025348989999999</v>
      </c>
      <c r="V115" s="19">
        <v>30.112480899000001</v>
      </c>
      <c r="W115" s="19">
        <v>-7.1668016989999996</v>
      </c>
      <c r="X115" s="19">
        <v>0</v>
      </c>
      <c r="Y115" s="19">
        <v>0</v>
      </c>
      <c r="Z115" s="19">
        <v>0</v>
      </c>
      <c r="AA115" s="50">
        <v>18121.718235052998</v>
      </c>
      <c r="AB115" s="48">
        <f t="shared" si="2"/>
        <v>15147.684932272998</v>
      </c>
      <c r="AC115" s="18">
        <v>110</v>
      </c>
    </row>
    <row r="116" spans="1:30" s="17" customFormat="1" ht="15.75" thickBot="1" x14ac:dyDescent="0.3">
      <c r="A116" s="18">
        <v>111</v>
      </c>
      <c r="B116" s="89" t="s">
        <v>342</v>
      </c>
      <c r="C116" s="85">
        <f>VLOOKUP(B116,'UOG List'!C:G,5,FALSE)</f>
        <v>4.8</v>
      </c>
      <c r="D116" s="29">
        <v>0</v>
      </c>
      <c r="E116" s="19">
        <v>0</v>
      </c>
      <c r="F116" s="29">
        <v>0</v>
      </c>
      <c r="G116" s="19">
        <v>0</v>
      </c>
      <c r="H116" s="29">
        <v>136.669999776</v>
      </c>
      <c r="I116" s="29">
        <v>-378.362342738</v>
      </c>
      <c r="J116" s="29">
        <v>-413.62613723700002</v>
      </c>
      <c r="K116" s="29">
        <v>546.40111931599995</v>
      </c>
      <c r="L116" s="19">
        <v>-7946.7114717459999</v>
      </c>
      <c r="M116" s="81">
        <v>-1.3210023983637242</v>
      </c>
      <c r="N116" s="55">
        <v>10715.917075134001</v>
      </c>
      <c r="O116" s="19">
        <v>0</v>
      </c>
      <c r="P116" s="19">
        <v>0</v>
      </c>
      <c r="Q116" s="19">
        <v>7076.921654625</v>
      </c>
      <c r="R116" s="19">
        <v>5805.042204075</v>
      </c>
      <c r="S116" s="78">
        <v>1.3407739317041529E-2</v>
      </c>
      <c r="T116" s="19">
        <v>-172.71801330900001</v>
      </c>
      <c r="U116" s="19">
        <v>-241.60536816300001</v>
      </c>
      <c r="V116" s="19">
        <v>297.99783994000001</v>
      </c>
      <c r="W116" s="19">
        <v>-61.686044096000003</v>
      </c>
      <c r="X116" s="19">
        <v>0</v>
      </c>
      <c r="Y116" s="19">
        <v>0</v>
      </c>
      <c r="Z116" s="19">
        <v>0</v>
      </c>
      <c r="AA116" s="50">
        <v>12718.686661243</v>
      </c>
      <c r="AB116" s="48">
        <f t="shared" si="2"/>
        <v>23434.603736377001</v>
      </c>
      <c r="AC116" s="18">
        <v>111</v>
      </c>
    </row>
    <row r="117" spans="1:30" s="17" customFormat="1" ht="15.75" thickBot="1" x14ac:dyDescent="0.3">
      <c r="A117" s="159" t="s">
        <v>8</v>
      </c>
      <c r="B117" s="160"/>
      <c r="C117" s="161"/>
      <c r="D117" s="94">
        <v>-1381.1367999999998</v>
      </c>
      <c r="E117" s="31">
        <v>-39202.025600000001</v>
      </c>
      <c r="F117" s="94">
        <v>6997.7518</v>
      </c>
      <c r="G117" s="31">
        <v>249975.81479999999</v>
      </c>
      <c r="H117" s="94">
        <v>2983534.42002765</v>
      </c>
      <c r="I117" s="94">
        <v>-34245.612338079001</v>
      </c>
      <c r="J117" s="94">
        <v>2949149.1260881564</v>
      </c>
      <c r="K117" s="94">
        <v>46107.82693546699</v>
      </c>
      <c r="L117" s="31">
        <v>-141275.08227964101</v>
      </c>
      <c r="M117" s="82">
        <v>1.5634281266958466E-2</v>
      </c>
      <c r="N117" s="54">
        <v>123974606.73918661</v>
      </c>
      <c r="O117" s="21">
        <v>703066.6367550249</v>
      </c>
      <c r="P117" s="21">
        <v>91026.682883749992</v>
      </c>
      <c r="Q117" s="21">
        <v>204710.58846900001</v>
      </c>
      <c r="R117" s="21">
        <v>290843.84188497503</v>
      </c>
      <c r="S117" s="79">
        <v>7.8207237702953375E-2</v>
      </c>
      <c r="T117" s="21">
        <v>-100859.78813676198</v>
      </c>
      <c r="U117" s="21">
        <v>-38619.910287571998</v>
      </c>
      <c r="V117" s="21">
        <v>78608.073384529998</v>
      </c>
      <c r="W117" s="21">
        <v>-5727.7704792989998</v>
      </c>
      <c r="X117" s="21">
        <v>0</v>
      </c>
      <c r="Y117" s="21">
        <v>0</v>
      </c>
      <c r="Z117" s="21">
        <v>-2365632.1281808978</v>
      </c>
      <c r="AA117" s="51">
        <v>-1148581.0857855091</v>
      </c>
      <c r="AB117" s="75">
        <f>AA117+N117</f>
        <v>122826025.65340111</v>
      </c>
      <c r="AC117" s="76"/>
    </row>
    <row r="118" spans="1:30" ht="15.75" thickBot="1" x14ac:dyDescent="0.3">
      <c r="A118" s="66"/>
      <c r="B118" s="9"/>
      <c r="I118" s="6"/>
      <c r="J118" s="6"/>
      <c r="K118" s="6"/>
      <c r="N118" s="24"/>
      <c r="AD118" s="9"/>
    </row>
    <row r="119" spans="1:30" ht="15" customHeight="1" thickBot="1" x14ac:dyDescent="0.3">
      <c r="A119" s="66"/>
      <c r="B119" s="162" t="s">
        <v>41</v>
      </c>
      <c r="C119" s="163"/>
      <c r="D119" s="163"/>
      <c r="E119" s="163"/>
      <c r="F119" s="164"/>
      <c r="G119" s="96"/>
      <c r="H119" s="96"/>
      <c r="I119" s="96"/>
      <c r="J119" s="6"/>
      <c r="K119" s="6"/>
      <c r="L119" s="165" t="s">
        <v>33</v>
      </c>
      <c r="M119" s="166"/>
      <c r="N119" s="166"/>
      <c r="O119" s="166"/>
      <c r="P119" s="166"/>
      <c r="Q119" s="166"/>
      <c r="R119" s="166"/>
      <c r="S119" s="166"/>
      <c r="T119" s="166"/>
      <c r="U119" s="166"/>
      <c r="V119" s="166"/>
      <c r="W119" s="166"/>
      <c r="X119" s="166"/>
      <c r="Y119" s="166"/>
      <c r="Z119" s="166"/>
      <c r="AA119" s="167"/>
      <c r="AB119" s="9"/>
      <c r="AC119" s="9"/>
      <c r="AD119" s="9"/>
    </row>
    <row r="120" spans="1:30" s="6" customFormat="1" ht="15.75" customHeight="1" x14ac:dyDescent="0.25">
      <c r="A120" s="67"/>
      <c r="B120" s="38" t="s">
        <v>42</v>
      </c>
      <c r="C120" s="177" t="s">
        <v>43</v>
      </c>
      <c r="D120" s="178"/>
      <c r="E120" s="178"/>
      <c r="F120" s="179"/>
      <c r="G120" s="96"/>
      <c r="H120" s="96"/>
      <c r="I120" s="96"/>
      <c r="L120" s="37" t="s">
        <v>34</v>
      </c>
      <c r="M120" s="168" t="s">
        <v>35</v>
      </c>
      <c r="N120" s="169"/>
      <c r="O120" s="170"/>
      <c r="P120" s="171" t="s">
        <v>36</v>
      </c>
      <c r="Q120" s="172"/>
      <c r="R120" s="172"/>
      <c r="S120" s="172"/>
      <c r="T120" s="172"/>
      <c r="U120" s="172"/>
      <c r="V120" s="172"/>
      <c r="W120" s="172"/>
      <c r="X120" s="172"/>
      <c r="Y120" s="172"/>
      <c r="Z120" s="172"/>
      <c r="AA120" s="173"/>
    </row>
    <row r="121" spans="1:30" s="6" customFormat="1" ht="16.5" customHeight="1" x14ac:dyDescent="0.25">
      <c r="A121" s="67"/>
      <c r="B121" s="39" t="s">
        <v>93</v>
      </c>
      <c r="C121" s="151" t="s">
        <v>94</v>
      </c>
      <c r="D121" s="152"/>
      <c r="E121" s="152"/>
      <c r="F121" s="153"/>
      <c r="G121" s="96"/>
      <c r="H121" s="96"/>
      <c r="I121" s="96"/>
      <c r="J121" s="96"/>
      <c r="K121" s="96"/>
      <c r="L121" s="65" t="s">
        <v>22</v>
      </c>
      <c r="M121" s="180" t="s">
        <v>360</v>
      </c>
      <c r="N121" s="183" t="s">
        <v>361</v>
      </c>
      <c r="O121" s="184"/>
      <c r="P121" s="174" t="s">
        <v>362</v>
      </c>
      <c r="Q121" s="175"/>
      <c r="R121" s="175"/>
      <c r="S121" s="175"/>
      <c r="T121" s="175"/>
      <c r="U121" s="175"/>
      <c r="V121" s="175"/>
      <c r="W121" s="175"/>
      <c r="X121" s="175"/>
      <c r="Y121" s="175"/>
      <c r="Z121" s="175"/>
      <c r="AA121" s="176"/>
    </row>
    <row r="122" spans="1:30" s="6" customFormat="1" ht="15.75" customHeight="1" x14ac:dyDescent="0.25">
      <c r="A122" s="67"/>
      <c r="B122" s="39" t="s">
        <v>45</v>
      </c>
      <c r="C122" s="151" t="s">
        <v>46</v>
      </c>
      <c r="D122" s="152"/>
      <c r="E122" s="152"/>
      <c r="F122" s="153"/>
      <c r="G122" s="96"/>
      <c r="H122" s="96"/>
      <c r="I122" s="96"/>
      <c r="J122" s="96"/>
      <c r="K122" s="96"/>
      <c r="L122" s="65" t="s">
        <v>23</v>
      </c>
      <c r="M122" s="181"/>
      <c r="N122" s="183" t="s">
        <v>363</v>
      </c>
      <c r="O122" s="184"/>
      <c r="P122" s="174" t="s">
        <v>364</v>
      </c>
      <c r="Q122" s="175"/>
      <c r="R122" s="175"/>
      <c r="S122" s="175"/>
      <c r="T122" s="175"/>
      <c r="U122" s="175"/>
      <c r="V122" s="175"/>
      <c r="W122" s="175"/>
      <c r="X122" s="175"/>
      <c r="Y122" s="175"/>
      <c r="Z122" s="175"/>
      <c r="AA122" s="176"/>
    </row>
    <row r="123" spans="1:30" s="6" customFormat="1" ht="17.25" customHeight="1" x14ac:dyDescent="0.25">
      <c r="A123" s="67"/>
      <c r="B123" s="39" t="s">
        <v>373</v>
      </c>
      <c r="C123" s="151" t="s">
        <v>374</v>
      </c>
      <c r="D123" s="152"/>
      <c r="E123" s="152"/>
      <c r="F123" s="153"/>
      <c r="G123" s="96"/>
      <c r="H123" s="96"/>
      <c r="I123" s="96"/>
      <c r="J123" s="96"/>
      <c r="K123" s="96"/>
      <c r="L123" s="65" t="s">
        <v>24</v>
      </c>
      <c r="M123" s="181"/>
      <c r="N123" s="183" t="s">
        <v>365</v>
      </c>
      <c r="O123" s="184"/>
      <c r="P123" s="174" t="s">
        <v>366</v>
      </c>
      <c r="Q123" s="175"/>
      <c r="R123" s="175"/>
      <c r="S123" s="175"/>
      <c r="T123" s="175"/>
      <c r="U123" s="175"/>
      <c r="V123" s="175"/>
      <c r="W123" s="175"/>
      <c r="X123" s="175"/>
      <c r="Y123" s="175"/>
      <c r="Z123" s="175"/>
      <c r="AA123" s="176"/>
    </row>
    <row r="124" spans="1:30" s="6" customFormat="1" ht="16.5" customHeight="1" x14ac:dyDescent="0.25">
      <c r="A124" s="67"/>
      <c r="B124" s="39" t="s">
        <v>65</v>
      </c>
      <c r="C124" s="151" t="s">
        <v>66</v>
      </c>
      <c r="D124" s="152"/>
      <c r="E124" s="152"/>
      <c r="F124" s="153"/>
      <c r="G124" s="96"/>
      <c r="H124" s="96"/>
      <c r="I124" s="96"/>
      <c r="J124" s="96"/>
      <c r="K124" s="96"/>
      <c r="L124" s="65" t="s">
        <v>25</v>
      </c>
      <c r="M124" s="182"/>
      <c r="N124" s="183" t="s">
        <v>367</v>
      </c>
      <c r="O124" s="184"/>
      <c r="P124" s="174" t="s">
        <v>368</v>
      </c>
      <c r="Q124" s="175"/>
      <c r="R124" s="175"/>
      <c r="S124" s="175"/>
      <c r="T124" s="175"/>
      <c r="U124" s="175"/>
      <c r="V124" s="175"/>
      <c r="W124" s="175"/>
      <c r="X124" s="175"/>
      <c r="Y124" s="175"/>
      <c r="Z124" s="175"/>
      <c r="AA124" s="176"/>
    </row>
    <row r="125" spans="1:30" s="6" customFormat="1" ht="16.5" customHeight="1" x14ac:dyDescent="0.25">
      <c r="A125" s="67"/>
      <c r="B125" s="39" t="s">
        <v>69</v>
      </c>
      <c r="C125" s="151" t="s">
        <v>72</v>
      </c>
      <c r="D125" s="152"/>
      <c r="E125" s="152"/>
      <c r="F125" s="153"/>
      <c r="G125" s="96"/>
      <c r="H125" s="96"/>
      <c r="I125" s="96"/>
      <c r="J125" s="96"/>
      <c r="K125" s="96"/>
      <c r="L125" s="65" t="s">
        <v>26</v>
      </c>
      <c r="M125" s="158" t="s">
        <v>384</v>
      </c>
      <c r="N125" s="158"/>
      <c r="O125" s="158"/>
      <c r="P125" s="154" t="s">
        <v>385</v>
      </c>
      <c r="Q125" s="155"/>
      <c r="R125" s="155"/>
      <c r="S125" s="155"/>
      <c r="T125" s="155"/>
      <c r="U125" s="155"/>
      <c r="V125" s="155"/>
      <c r="W125" s="155"/>
      <c r="X125" s="155"/>
      <c r="Y125" s="155"/>
      <c r="Z125" s="155"/>
      <c r="AA125" s="156"/>
    </row>
    <row r="126" spans="1:30" s="6" customFormat="1" ht="16.5" thickBot="1" x14ac:dyDescent="0.3">
      <c r="A126" s="67"/>
      <c r="B126" s="40" t="s">
        <v>47</v>
      </c>
      <c r="C126" s="204" t="s">
        <v>48</v>
      </c>
      <c r="D126" s="205"/>
      <c r="E126" s="205"/>
      <c r="F126" s="206"/>
      <c r="G126" s="96"/>
      <c r="H126" s="96"/>
      <c r="I126" s="96"/>
      <c r="J126" s="96"/>
      <c r="K126" s="5"/>
      <c r="L126" s="65" t="s">
        <v>27</v>
      </c>
      <c r="M126" s="158" t="s">
        <v>386</v>
      </c>
      <c r="N126" s="158"/>
      <c r="O126" s="158"/>
      <c r="P126" s="154" t="s">
        <v>387</v>
      </c>
      <c r="Q126" s="155"/>
      <c r="R126" s="155"/>
      <c r="S126" s="155"/>
      <c r="T126" s="155"/>
      <c r="U126" s="155"/>
      <c r="V126" s="155"/>
      <c r="W126" s="155"/>
      <c r="X126" s="155"/>
      <c r="Y126" s="155"/>
      <c r="Z126" s="155"/>
      <c r="AA126" s="156"/>
    </row>
    <row r="127" spans="1:30" s="6" customFormat="1" ht="16.5" customHeight="1" x14ac:dyDescent="0.25">
      <c r="A127" s="67"/>
      <c r="G127" s="96"/>
      <c r="H127" s="96"/>
      <c r="I127" s="96"/>
      <c r="J127" s="96"/>
      <c r="K127" s="5"/>
      <c r="L127" s="65" t="s">
        <v>28</v>
      </c>
      <c r="M127" s="158" t="s">
        <v>74</v>
      </c>
      <c r="N127" s="158"/>
      <c r="O127" s="158"/>
      <c r="P127" s="154" t="s">
        <v>39</v>
      </c>
      <c r="Q127" s="155"/>
      <c r="R127" s="155"/>
      <c r="S127" s="155"/>
      <c r="T127" s="155"/>
      <c r="U127" s="155"/>
      <c r="V127" s="155"/>
      <c r="W127" s="155"/>
      <c r="X127" s="155"/>
      <c r="Y127" s="155"/>
      <c r="Z127" s="155"/>
      <c r="AA127" s="156"/>
    </row>
    <row r="128" spans="1:30" s="6" customFormat="1" ht="16.5" customHeight="1" x14ac:dyDescent="0.25">
      <c r="A128" s="67"/>
      <c r="G128" s="96"/>
      <c r="H128" s="96"/>
      <c r="I128" s="96"/>
      <c r="K128" s="5"/>
      <c r="L128" s="65" t="s">
        <v>29</v>
      </c>
      <c r="M128" s="213" t="s">
        <v>6</v>
      </c>
      <c r="N128" s="214"/>
      <c r="O128" s="215"/>
      <c r="P128" s="154" t="s">
        <v>37</v>
      </c>
      <c r="Q128" s="155"/>
      <c r="R128" s="155"/>
      <c r="S128" s="155"/>
      <c r="T128" s="155"/>
      <c r="U128" s="155"/>
      <c r="V128" s="155"/>
      <c r="W128" s="155"/>
      <c r="X128" s="155"/>
      <c r="Y128" s="155"/>
      <c r="Z128" s="155"/>
      <c r="AA128" s="156"/>
    </row>
    <row r="129" spans="1:30" s="6" customFormat="1" ht="16.5" customHeight="1" x14ac:dyDescent="0.25">
      <c r="A129" s="67"/>
      <c r="B129" s="212" t="s">
        <v>38</v>
      </c>
      <c r="C129" s="212"/>
      <c r="D129" s="92"/>
      <c r="E129" s="92"/>
      <c r="F129" s="92"/>
      <c r="K129" s="5"/>
      <c r="L129" s="65" t="s">
        <v>30</v>
      </c>
      <c r="M129" s="158" t="s">
        <v>5</v>
      </c>
      <c r="N129" s="158"/>
      <c r="O129" s="158"/>
      <c r="P129" s="154" t="s">
        <v>388</v>
      </c>
      <c r="Q129" s="155"/>
      <c r="R129" s="155"/>
      <c r="S129" s="155"/>
      <c r="T129" s="155"/>
      <c r="U129" s="155"/>
      <c r="V129" s="155"/>
      <c r="W129" s="155"/>
      <c r="X129" s="155"/>
      <c r="Y129" s="155"/>
      <c r="Z129" s="155"/>
      <c r="AA129" s="156"/>
    </row>
    <row r="130" spans="1:30" s="6" customFormat="1" ht="36" customHeight="1" x14ac:dyDescent="0.25">
      <c r="A130" s="67"/>
      <c r="C130" s="23"/>
      <c r="D130" s="23"/>
      <c r="E130" s="23"/>
      <c r="F130" s="23"/>
      <c r="G130" s="92"/>
      <c r="H130" s="24"/>
      <c r="I130" s="24"/>
      <c r="J130" s="24"/>
      <c r="K130" s="5"/>
      <c r="L130" s="65" t="s">
        <v>60</v>
      </c>
      <c r="M130" s="213" t="s">
        <v>127</v>
      </c>
      <c r="N130" s="214"/>
      <c r="O130" s="215"/>
      <c r="P130" s="154" t="s">
        <v>131</v>
      </c>
      <c r="Q130" s="155"/>
      <c r="R130" s="155"/>
      <c r="S130" s="155"/>
      <c r="T130" s="155"/>
      <c r="U130" s="155"/>
      <c r="V130" s="155"/>
      <c r="W130" s="155"/>
      <c r="X130" s="155"/>
      <c r="Y130" s="155"/>
      <c r="Z130" s="155"/>
      <c r="AA130" s="156"/>
    </row>
    <row r="131" spans="1:30" s="6" customFormat="1" ht="16.5" customHeight="1" x14ac:dyDescent="0.25">
      <c r="A131" s="67"/>
      <c r="B131" s="26"/>
      <c r="C131" s="23"/>
      <c r="D131" s="23"/>
      <c r="E131" s="23"/>
      <c r="F131" s="23"/>
      <c r="G131" s="23"/>
      <c r="H131" s="24"/>
      <c r="I131" s="24"/>
      <c r="J131" s="24"/>
      <c r="K131" s="5"/>
      <c r="L131" s="62" t="s">
        <v>61</v>
      </c>
      <c r="M131" s="157" t="s">
        <v>73</v>
      </c>
      <c r="N131" s="157"/>
      <c r="O131" s="157"/>
      <c r="P131" s="154" t="s">
        <v>40</v>
      </c>
      <c r="Q131" s="155"/>
      <c r="R131" s="155"/>
      <c r="S131" s="155"/>
      <c r="T131" s="155"/>
      <c r="U131" s="155"/>
      <c r="V131" s="155"/>
      <c r="W131" s="155"/>
      <c r="X131" s="155"/>
      <c r="Y131" s="155"/>
      <c r="Z131" s="155"/>
      <c r="AA131" s="156"/>
    </row>
    <row r="132" spans="1:30" s="6" customFormat="1" ht="16.5" customHeight="1" x14ac:dyDescent="0.25">
      <c r="A132" s="67"/>
      <c r="B132" s="26"/>
      <c r="C132" s="23"/>
      <c r="D132" s="23"/>
      <c r="E132" s="23"/>
      <c r="F132" s="23"/>
      <c r="G132" s="23"/>
      <c r="H132" s="7"/>
      <c r="I132" s="7"/>
      <c r="J132" s="7"/>
      <c r="K132" s="5"/>
      <c r="L132" s="62" t="s">
        <v>62</v>
      </c>
      <c r="M132" s="208" t="s">
        <v>97</v>
      </c>
      <c r="N132" s="209"/>
      <c r="O132" s="210"/>
      <c r="P132" s="154" t="s">
        <v>75</v>
      </c>
      <c r="Q132" s="155"/>
      <c r="R132" s="155"/>
      <c r="S132" s="155"/>
      <c r="T132" s="155"/>
      <c r="U132" s="155"/>
      <c r="V132" s="155"/>
      <c r="W132" s="155"/>
      <c r="X132" s="155"/>
      <c r="Y132" s="155"/>
      <c r="Z132" s="155"/>
      <c r="AA132" s="156"/>
    </row>
    <row r="133" spans="1:30" s="6" customFormat="1" ht="16.5" customHeight="1" x14ac:dyDescent="0.25">
      <c r="A133" s="67"/>
      <c r="B133" s="26"/>
      <c r="C133" s="23"/>
      <c r="D133" s="23"/>
      <c r="E133" s="23"/>
      <c r="F133" s="23"/>
      <c r="G133" s="23"/>
      <c r="H133" s="7"/>
      <c r="I133" s="7"/>
      <c r="J133" s="7"/>
      <c r="K133" s="5"/>
      <c r="L133" s="63" t="s">
        <v>63</v>
      </c>
      <c r="M133" s="208" t="s">
        <v>98</v>
      </c>
      <c r="N133" s="209"/>
      <c r="O133" s="210"/>
      <c r="P133" s="154" t="s">
        <v>76</v>
      </c>
      <c r="Q133" s="155"/>
      <c r="R133" s="155"/>
      <c r="S133" s="155"/>
      <c r="T133" s="155"/>
      <c r="U133" s="155"/>
      <c r="V133" s="155"/>
      <c r="W133" s="155"/>
      <c r="X133" s="155"/>
      <c r="Y133" s="155"/>
      <c r="Z133" s="155"/>
      <c r="AA133" s="156"/>
    </row>
    <row r="134" spans="1:30" s="6" customFormat="1" ht="16.5" customHeight="1" x14ac:dyDescent="0.25">
      <c r="A134" s="67"/>
      <c r="C134" s="23"/>
      <c r="D134" s="23"/>
      <c r="E134" s="23"/>
      <c r="F134" s="23"/>
      <c r="G134" s="23"/>
      <c r="H134" s="7"/>
      <c r="I134" s="7"/>
      <c r="J134" s="7"/>
      <c r="K134" s="5"/>
      <c r="L134" s="65" t="s">
        <v>56</v>
      </c>
      <c r="M134" s="211" t="s">
        <v>67</v>
      </c>
      <c r="N134" s="211"/>
      <c r="O134" s="211"/>
      <c r="P134" s="154" t="s">
        <v>78</v>
      </c>
      <c r="Q134" s="155"/>
      <c r="R134" s="155"/>
      <c r="S134" s="155"/>
      <c r="T134" s="155"/>
      <c r="U134" s="155"/>
      <c r="V134" s="155"/>
      <c r="W134" s="155"/>
      <c r="X134" s="155"/>
      <c r="Y134" s="155"/>
      <c r="Z134" s="155"/>
      <c r="AA134" s="156"/>
    </row>
    <row r="135" spans="1:30" s="6" customFormat="1" ht="15.75" x14ac:dyDescent="0.25">
      <c r="A135" s="67"/>
      <c r="C135" s="23"/>
      <c r="D135" s="23"/>
      <c r="E135" s="23"/>
      <c r="F135" s="23"/>
      <c r="G135" s="23"/>
      <c r="H135" s="7"/>
      <c r="I135" s="7"/>
      <c r="J135" s="7"/>
      <c r="K135" s="5"/>
      <c r="L135" s="63" t="s">
        <v>64</v>
      </c>
      <c r="M135" s="211" t="s">
        <v>68</v>
      </c>
      <c r="N135" s="211"/>
      <c r="O135" s="211"/>
      <c r="P135" s="154" t="s">
        <v>77</v>
      </c>
      <c r="Q135" s="155"/>
      <c r="R135" s="155"/>
      <c r="S135" s="155"/>
      <c r="T135" s="155"/>
      <c r="U135" s="155"/>
      <c r="V135" s="155"/>
      <c r="W135" s="155"/>
      <c r="X135" s="155"/>
      <c r="Y135" s="155"/>
      <c r="Z135" s="155"/>
      <c r="AA135" s="156"/>
    </row>
    <row r="136" spans="1:30" s="6" customFormat="1" ht="32.25" customHeight="1" x14ac:dyDescent="0.25">
      <c r="A136" s="67"/>
      <c r="C136" s="23"/>
      <c r="D136" s="23"/>
      <c r="E136" s="23"/>
      <c r="F136" s="23"/>
      <c r="G136" s="23"/>
      <c r="H136" s="7"/>
      <c r="I136" s="7"/>
      <c r="J136" s="7"/>
      <c r="K136" s="5"/>
      <c r="L136" s="63" t="s">
        <v>114</v>
      </c>
      <c r="M136" s="196" t="s">
        <v>123</v>
      </c>
      <c r="N136" s="196"/>
      <c r="O136" s="196"/>
      <c r="P136" s="154" t="s">
        <v>126</v>
      </c>
      <c r="Q136" s="155"/>
      <c r="R136" s="155"/>
      <c r="S136" s="155"/>
      <c r="T136" s="155"/>
      <c r="U136" s="155"/>
      <c r="V136" s="155"/>
      <c r="W136" s="155"/>
      <c r="X136" s="155"/>
      <c r="Y136" s="155"/>
      <c r="Z136" s="155"/>
      <c r="AA136" s="156"/>
    </row>
    <row r="137" spans="1:30" s="6" customFormat="1" ht="16.5" customHeight="1" x14ac:dyDescent="0.25">
      <c r="A137" s="67"/>
      <c r="C137" s="23"/>
      <c r="D137" s="23"/>
      <c r="E137" s="23"/>
      <c r="F137" s="23"/>
      <c r="G137" s="23"/>
      <c r="H137" s="7"/>
      <c r="I137" s="7"/>
      <c r="J137" s="7"/>
      <c r="K137" s="5"/>
      <c r="L137" s="63" t="s">
        <v>124</v>
      </c>
      <c r="M137" s="196" t="s">
        <v>96</v>
      </c>
      <c r="N137" s="196"/>
      <c r="O137" s="196"/>
      <c r="P137" s="154" t="s">
        <v>101</v>
      </c>
      <c r="Q137" s="155"/>
      <c r="R137" s="155"/>
      <c r="S137" s="155"/>
      <c r="T137" s="155"/>
      <c r="U137" s="155"/>
      <c r="V137" s="155"/>
      <c r="W137" s="155"/>
      <c r="X137" s="155"/>
      <c r="Y137" s="155"/>
      <c r="Z137" s="155"/>
      <c r="AA137" s="156"/>
    </row>
    <row r="138" spans="1:30" s="6" customFormat="1" ht="16.5" customHeight="1" x14ac:dyDescent="0.25">
      <c r="A138" s="67"/>
      <c r="C138" s="23"/>
      <c r="D138" s="23"/>
      <c r="E138" s="23"/>
      <c r="F138" s="23"/>
      <c r="G138" s="23"/>
      <c r="H138" s="7"/>
      <c r="I138" s="7"/>
      <c r="J138" s="7"/>
      <c r="K138" s="5"/>
      <c r="L138" s="65" t="s">
        <v>128</v>
      </c>
      <c r="M138" s="197" t="s">
        <v>95</v>
      </c>
      <c r="N138" s="198"/>
      <c r="O138" s="199"/>
      <c r="P138" s="154" t="s">
        <v>105</v>
      </c>
      <c r="Q138" s="155"/>
      <c r="R138" s="155"/>
      <c r="S138" s="155"/>
      <c r="T138" s="155"/>
      <c r="U138" s="155"/>
      <c r="V138" s="155"/>
      <c r="W138" s="155"/>
      <c r="X138" s="155"/>
      <c r="Y138" s="155"/>
      <c r="Z138" s="155"/>
      <c r="AA138" s="156"/>
    </row>
    <row r="139" spans="1:30" s="6" customFormat="1" ht="16.5" customHeight="1" x14ac:dyDescent="0.25">
      <c r="A139" s="67"/>
      <c r="C139" s="23"/>
      <c r="D139" s="23"/>
      <c r="E139" s="23"/>
      <c r="F139" s="23"/>
      <c r="G139" s="23"/>
      <c r="H139" s="7"/>
      <c r="I139" s="7"/>
      <c r="J139" s="7"/>
      <c r="K139" s="5"/>
      <c r="L139" s="63" t="s">
        <v>348</v>
      </c>
      <c r="M139" s="200" t="s">
        <v>116</v>
      </c>
      <c r="N139" s="201"/>
      <c r="O139" s="72" t="s">
        <v>118</v>
      </c>
      <c r="P139" s="154" t="s">
        <v>102</v>
      </c>
      <c r="Q139" s="155"/>
      <c r="R139" s="155"/>
      <c r="S139" s="155"/>
      <c r="T139" s="155"/>
      <c r="U139" s="155"/>
      <c r="V139" s="155"/>
      <c r="W139" s="155"/>
      <c r="X139" s="155"/>
      <c r="Y139" s="155"/>
      <c r="Z139" s="155"/>
      <c r="AA139" s="156"/>
    </row>
    <row r="140" spans="1:30" s="6" customFormat="1" ht="16.5" customHeight="1" x14ac:dyDescent="0.25">
      <c r="C140" s="23"/>
      <c r="D140" s="23"/>
      <c r="E140" s="23"/>
      <c r="F140" s="23"/>
      <c r="G140" s="23"/>
      <c r="H140" s="7"/>
      <c r="I140" s="7"/>
      <c r="J140" s="7"/>
      <c r="K140" s="5"/>
      <c r="L140" s="65" t="s">
        <v>349</v>
      </c>
      <c r="M140" s="202"/>
      <c r="N140" s="203"/>
      <c r="O140" s="72" t="s">
        <v>119</v>
      </c>
      <c r="P140" s="71" t="s">
        <v>120</v>
      </c>
      <c r="Q140" s="83"/>
      <c r="R140" s="83"/>
      <c r="S140" s="83"/>
      <c r="T140" s="83"/>
      <c r="U140" s="83"/>
      <c r="V140" s="83"/>
      <c r="W140" s="83"/>
      <c r="X140" s="83"/>
      <c r="Y140" s="83"/>
      <c r="Z140" s="83"/>
      <c r="AA140" s="84"/>
      <c r="AB140" s="27"/>
      <c r="AC140" s="27"/>
      <c r="AD140" s="23"/>
    </row>
    <row r="141" spans="1:30" s="6" customFormat="1" ht="16.5" customHeight="1" x14ac:dyDescent="0.25">
      <c r="C141" s="23"/>
      <c r="D141" s="23"/>
      <c r="E141" s="23"/>
      <c r="F141" s="23"/>
      <c r="G141" s="23"/>
      <c r="H141" s="7"/>
      <c r="I141" s="7"/>
      <c r="J141" s="7"/>
      <c r="K141" s="25"/>
      <c r="L141" s="65" t="s">
        <v>350</v>
      </c>
      <c r="M141" s="189" t="s">
        <v>117</v>
      </c>
      <c r="N141" s="190"/>
      <c r="O141" s="73" t="s">
        <v>118</v>
      </c>
      <c r="P141" s="154" t="s">
        <v>103</v>
      </c>
      <c r="Q141" s="155"/>
      <c r="R141" s="155"/>
      <c r="S141" s="155"/>
      <c r="T141" s="155"/>
      <c r="U141" s="155"/>
      <c r="V141" s="155"/>
      <c r="W141" s="155"/>
      <c r="X141" s="155"/>
      <c r="Y141" s="155"/>
      <c r="Z141" s="155"/>
      <c r="AA141" s="156"/>
      <c r="AB141" s="25"/>
      <c r="AC141" s="28"/>
      <c r="AD141" s="23"/>
    </row>
    <row r="142" spans="1:30" s="6" customFormat="1" ht="16.5" customHeight="1" x14ac:dyDescent="0.25">
      <c r="A142" s="23"/>
      <c r="C142" s="23"/>
      <c r="D142" s="23"/>
      <c r="E142" s="23"/>
      <c r="F142" s="23"/>
      <c r="G142" s="23"/>
      <c r="H142" s="7"/>
      <c r="I142" s="7"/>
      <c r="J142" s="7"/>
      <c r="K142" s="5"/>
      <c r="L142" s="99" t="s">
        <v>351</v>
      </c>
      <c r="M142" s="191"/>
      <c r="N142" s="192"/>
      <c r="O142" s="73" t="s">
        <v>119</v>
      </c>
      <c r="P142" s="154" t="s">
        <v>121</v>
      </c>
      <c r="Q142" s="155"/>
      <c r="R142" s="155"/>
      <c r="S142" s="155"/>
      <c r="T142" s="155"/>
      <c r="U142" s="155"/>
      <c r="V142" s="155"/>
      <c r="W142" s="155"/>
      <c r="X142" s="155"/>
      <c r="Y142" s="155"/>
      <c r="Z142" s="155"/>
      <c r="AA142" s="156"/>
      <c r="AB142" s="25"/>
      <c r="AC142" s="25"/>
      <c r="AD142" s="23"/>
    </row>
    <row r="143" spans="1:30" s="6" customFormat="1" ht="16.5" customHeight="1" x14ac:dyDescent="0.25">
      <c r="A143" s="23"/>
      <c r="C143" s="23"/>
      <c r="D143" s="23"/>
      <c r="E143" s="23"/>
      <c r="F143" s="23"/>
      <c r="G143" s="23"/>
      <c r="H143" s="7"/>
      <c r="I143" s="7"/>
      <c r="J143" s="7"/>
      <c r="K143" s="5"/>
      <c r="L143" s="65" t="s">
        <v>350</v>
      </c>
      <c r="M143" s="193" t="s">
        <v>115</v>
      </c>
      <c r="N143" s="194"/>
      <c r="O143" s="195"/>
      <c r="P143" s="154" t="s">
        <v>122</v>
      </c>
      <c r="Q143" s="155"/>
      <c r="R143" s="155"/>
      <c r="S143" s="155"/>
      <c r="T143" s="155"/>
      <c r="U143" s="155"/>
      <c r="V143" s="155"/>
      <c r="W143" s="155"/>
      <c r="X143" s="155"/>
      <c r="Y143" s="155"/>
      <c r="Z143" s="155"/>
      <c r="AA143" s="156"/>
      <c r="AB143" s="25"/>
      <c r="AC143" s="25"/>
      <c r="AD143" s="23"/>
    </row>
    <row r="144" spans="1:30" s="6" customFormat="1" ht="16.5" customHeight="1" x14ac:dyDescent="0.25">
      <c r="A144" s="23"/>
      <c r="C144" s="23"/>
      <c r="D144" s="23"/>
      <c r="E144" s="23"/>
      <c r="F144" s="23"/>
      <c r="G144" s="23"/>
      <c r="H144" s="7"/>
      <c r="I144" s="7"/>
      <c r="J144" s="7"/>
      <c r="K144" s="5"/>
      <c r="L144" s="100" t="s">
        <v>351</v>
      </c>
      <c r="M144" s="207" t="s">
        <v>71</v>
      </c>
      <c r="N144" s="207"/>
      <c r="O144" s="207"/>
      <c r="P144" s="154" t="s">
        <v>59</v>
      </c>
      <c r="Q144" s="155"/>
      <c r="R144" s="155"/>
      <c r="S144" s="155"/>
      <c r="T144" s="155"/>
      <c r="U144" s="155"/>
      <c r="V144" s="155"/>
      <c r="W144" s="155"/>
      <c r="X144" s="155"/>
      <c r="Y144" s="155"/>
      <c r="Z144" s="155"/>
      <c r="AA144" s="156"/>
      <c r="AB144" s="25"/>
      <c r="AC144" s="25"/>
      <c r="AD144" s="23"/>
    </row>
    <row r="145" spans="1:30" s="6" customFormat="1" ht="16.5" customHeight="1" thickBot="1" x14ac:dyDescent="0.3">
      <c r="A145" s="23"/>
      <c r="C145" s="23"/>
      <c r="D145" s="23"/>
      <c r="E145" s="23"/>
      <c r="F145" s="23"/>
      <c r="G145" s="23"/>
      <c r="H145" s="7"/>
      <c r="I145" s="7"/>
      <c r="J145" s="7"/>
      <c r="K145" s="5"/>
      <c r="L145" s="98" t="s">
        <v>383</v>
      </c>
      <c r="M145" s="185" t="s">
        <v>70</v>
      </c>
      <c r="N145" s="185"/>
      <c r="O145" s="185"/>
      <c r="P145" s="186" t="s">
        <v>44</v>
      </c>
      <c r="Q145" s="187"/>
      <c r="R145" s="187"/>
      <c r="S145" s="187"/>
      <c r="T145" s="187"/>
      <c r="U145" s="187"/>
      <c r="V145" s="187"/>
      <c r="W145" s="187"/>
      <c r="X145" s="187"/>
      <c r="Y145" s="187"/>
      <c r="Z145" s="187"/>
      <c r="AA145" s="188"/>
      <c r="AB145" s="25"/>
      <c r="AC145" s="25"/>
      <c r="AD145" s="23"/>
    </row>
    <row r="146" spans="1:30" s="6" customFormat="1" ht="16.5" customHeight="1" x14ac:dyDescent="0.25">
      <c r="A146" s="23"/>
      <c r="C146" s="23"/>
      <c r="D146" s="23"/>
      <c r="E146" s="23"/>
      <c r="F146" s="23"/>
      <c r="G146" s="23"/>
      <c r="H146" s="7"/>
      <c r="I146" s="7"/>
      <c r="J146" s="7"/>
      <c r="K146" s="5"/>
      <c r="L146" s="57"/>
      <c r="M146" s="57"/>
      <c r="N146" s="64"/>
      <c r="O146" s="64"/>
      <c r="P146" s="64"/>
      <c r="Q146" s="58"/>
      <c r="R146" s="25"/>
      <c r="S146" s="58"/>
      <c r="T146" s="58"/>
      <c r="U146" s="58"/>
      <c r="V146" s="58"/>
      <c r="W146" s="58"/>
      <c r="X146" s="58"/>
      <c r="Y146" s="5"/>
      <c r="AB146" s="25"/>
      <c r="AC146" s="25"/>
      <c r="AD146" s="23"/>
    </row>
    <row r="147" spans="1:30" s="6" customFormat="1" ht="16.5" customHeight="1" x14ac:dyDescent="0.25">
      <c r="A147" s="23"/>
      <c r="C147" s="23"/>
      <c r="D147" s="23"/>
      <c r="E147" s="23"/>
      <c r="F147" s="23"/>
      <c r="G147" s="23"/>
      <c r="H147" s="7"/>
      <c r="I147" s="7"/>
      <c r="J147" s="7"/>
      <c r="K147" s="5"/>
      <c r="L147" s="24"/>
      <c r="M147" s="24"/>
      <c r="N147" s="25"/>
      <c r="O147" s="25"/>
      <c r="P147" s="25"/>
      <c r="Q147" s="25"/>
      <c r="R147" s="25"/>
      <c r="S147" s="25"/>
      <c r="T147" s="25"/>
      <c r="U147" s="25"/>
      <c r="V147" s="25"/>
      <c r="W147" s="25"/>
      <c r="X147" s="25"/>
      <c r="Y147" s="25"/>
      <c r="Z147" s="25"/>
      <c r="AA147" s="25"/>
      <c r="AB147" s="25"/>
      <c r="AC147" s="25"/>
      <c r="AD147" s="23"/>
    </row>
    <row r="148" spans="1:30" s="6" customFormat="1" ht="16.5" customHeight="1" x14ac:dyDescent="0.25">
      <c r="A148" s="23"/>
      <c r="C148" s="23"/>
      <c r="D148" s="23"/>
      <c r="E148" s="23"/>
      <c r="F148" s="23"/>
      <c r="G148" s="23"/>
      <c r="H148" s="24"/>
      <c r="I148" s="24"/>
      <c r="J148" s="24"/>
      <c r="K148" s="5"/>
      <c r="L148" s="24"/>
      <c r="M148" s="24"/>
      <c r="N148" s="25"/>
      <c r="O148" s="25"/>
      <c r="P148" s="25"/>
      <c r="Q148" s="25"/>
      <c r="R148" s="25"/>
      <c r="S148" s="25"/>
      <c r="T148" s="25"/>
      <c r="U148" s="25"/>
      <c r="V148" s="25"/>
      <c r="W148" s="25"/>
      <c r="X148" s="25"/>
      <c r="Y148" s="25"/>
      <c r="Z148" s="25"/>
      <c r="AA148" s="25"/>
      <c r="AB148" s="25"/>
      <c r="AC148" s="25"/>
      <c r="AD148" s="23"/>
    </row>
    <row r="149" spans="1:30" s="6" customFormat="1" x14ac:dyDescent="0.25">
      <c r="A149" s="23"/>
      <c r="C149" s="23"/>
      <c r="D149" s="23"/>
      <c r="E149" s="23"/>
      <c r="F149" s="23"/>
      <c r="G149" s="23"/>
      <c r="H149" s="24"/>
      <c r="I149" s="24"/>
      <c r="J149" s="24"/>
      <c r="K149" s="5"/>
      <c r="L149" s="24"/>
      <c r="M149" s="24"/>
      <c r="N149" s="25"/>
      <c r="O149" s="25"/>
      <c r="P149" s="25"/>
      <c r="Q149" s="25"/>
      <c r="R149" s="25"/>
      <c r="S149" s="25"/>
      <c r="T149" s="25"/>
      <c r="U149" s="25"/>
      <c r="V149" s="25"/>
      <c r="W149" s="25"/>
      <c r="X149" s="25"/>
      <c r="Y149" s="25"/>
      <c r="Z149" s="25"/>
      <c r="AA149" s="25"/>
      <c r="AB149" s="25"/>
      <c r="AC149" s="25"/>
      <c r="AD149" s="23"/>
    </row>
    <row r="150" spans="1:30" s="6" customFormat="1" x14ac:dyDescent="0.25">
      <c r="A150" s="23"/>
      <c r="C150" s="23"/>
      <c r="D150" s="23"/>
      <c r="E150" s="23"/>
      <c r="F150" s="23"/>
      <c r="G150" s="23"/>
      <c r="H150" s="24"/>
      <c r="I150" s="24"/>
      <c r="J150" s="24"/>
      <c r="K150" s="5"/>
      <c r="L150" s="24"/>
      <c r="M150" s="24"/>
      <c r="N150" s="25"/>
      <c r="O150" s="25"/>
      <c r="P150" s="25"/>
      <c r="Q150" s="25"/>
      <c r="R150" s="25"/>
      <c r="S150" s="25"/>
      <c r="T150" s="25"/>
      <c r="U150" s="25"/>
      <c r="V150" s="25"/>
      <c r="W150" s="25"/>
      <c r="X150" s="25"/>
      <c r="Y150" s="25"/>
      <c r="Z150" s="25"/>
      <c r="AA150" s="25"/>
      <c r="AB150" s="25"/>
      <c r="AC150" s="25"/>
      <c r="AD150" s="23"/>
    </row>
    <row r="151" spans="1:30" s="6" customFormat="1" x14ac:dyDescent="0.25">
      <c r="A151" s="23"/>
      <c r="C151" s="23"/>
      <c r="D151" s="23"/>
      <c r="E151" s="23"/>
      <c r="F151" s="23"/>
      <c r="G151" s="23"/>
      <c r="H151" s="24"/>
      <c r="I151" s="24"/>
      <c r="J151" s="24"/>
      <c r="K151" s="5"/>
      <c r="L151" s="24"/>
      <c r="M151" s="24"/>
      <c r="N151" s="25"/>
      <c r="O151" s="25"/>
      <c r="P151" s="25"/>
      <c r="Q151" s="25"/>
      <c r="R151" s="25"/>
      <c r="S151" s="25"/>
      <c r="T151" s="25"/>
      <c r="U151" s="25"/>
      <c r="V151" s="25"/>
      <c r="W151" s="25"/>
      <c r="X151" s="25"/>
      <c r="Y151" s="25"/>
      <c r="Z151" s="25"/>
      <c r="AA151" s="25"/>
      <c r="AB151" s="25"/>
      <c r="AC151" s="25"/>
      <c r="AD151" s="23"/>
    </row>
    <row r="152" spans="1:30" s="6" customFormat="1" ht="15" customHeight="1" x14ac:dyDescent="0.25">
      <c r="A152" s="23"/>
      <c r="C152" s="23"/>
      <c r="D152" s="23"/>
      <c r="E152" s="23"/>
      <c r="F152" s="23"/>
      <c r="G152" s="23"/>
      <c r="H152" s="24"/>
      <c r="I152" s="24"/>
      <c r="J152" s="24"/>
      <c r="K152" s="5"/>
      <c r="L152" s="24"/>
      <c r="M152" s="24"/>
      <c r="N152" s="25"/>
      <c r="O152" s="25"/>
      <c r="P152" s="25"/>
      <c r="Q152" s="25"/>
      <c r="R152" s="25"/>
      <c r="S152" s="25"/>
      <c r="T152" s="25"/>
      <c r="U152" s="25"/>
      <c r="V152" s="25"/>
      <c r="W152" s="25"/>
      <c r="X152" s="25"/>
      <c r="Y152" s="25"/>
      <c r="Z152" s="25"/>
      <c r="AA152" s="25"/>
      <c r="AB152" s="25"/>
      <c r="AC152" s="25"/>
      <c r="AD152" s="23"/>
    </row>
    <row r="153" spans="1:30" s="6" customFormat="1" x14ac:dyDescent="0.25">
      <c r="A153" s="23"/>
      <c r="C153" s="23"/>
      <c r="D153" s="23"/>
      <c r="E153" s="23"/>
      <c r="F153" s="23"/>
      <c r="G153" s="23"/>
      <c r="H153" s="24"/>
      <c r="I153" s="24"/>
      <c r="J153" s="24"/>
      <c r="K153" s="5"/>
      <c r="L153" s="24"/>
      <c r="M153" s="24"/>
      <c r="N153" s="25"/>
      <c r="O153" s="25"/>
      <c r="P153" s="25"/>
      <c r="Q153" s="25"/>
      <c r="R153" s="25"/>
      <c r="S153" s="25"/>
      <c r="T153" s="25"/>
      <c r="U153" s="25"/>
      <c r="V153" s="25"/>
      <c r="W153" s="25"/>
      <c r="X153" s="25"/>
      <c r="Y153" s="25"/>
      <c r="Z153" s="25"/>
      <c r="AA153" s="25"/>
      <c r="AB153" s="25"/>
      <c r="AC153" s="25"/>
      <c r="AD153" s="23"/>
    </row>
    <row r="154" spans="1:30" s="6" customFormat="1" x14ac:dyDescent="0.25">
      <c r="A154" s="23"/>
      <c r="C154" s="23"/>
      <c r="D154" s="23"/>
      <c r="E154" s="23"/>
      <c r="F154" s="23"/>
      <c r="G154" s="23"/>
      <c r="H154" s="24"/>
      <c r="I154" s="24"/>
      <c r="J154" s="24"/>
      <c r="K154" s="5"/>
      <c r="L154" s="24"/>
      <c r="M154" s="24"/>
      <c r="N154" s="25"/>
      <c r="O154" s="25"/>
      <c r="P154" s="25"/>
      <c r="Q154" s="25"/>
      <c r="R154" s="25"/>
      <c r="S154" s="25"/>
      <c r="T154" s="25"/>
      <c r="U154" s="25"/>
      <c r="V154" s="25"/>
      <c r="W154" s="25"/>
      <c r="X154" s="25"/>
      <c r="Y154" s="25"/>
      <c r="Z154" s="25"/>
      <c r="AA154" s="25"/>
      <c r="AB154" s="25"/>
      <c r="AC154" s="25"/>
      <c r="AD154" s="23"/>
    </row>
    <row r="155" spans="1:30" s="6" customFormat="1" x14ac:dyDescent="0.25">
      <c r="A155" s="23"/>
      <c r="C155" s="23"/>
      <c r="D155" s="23"/>
      <c r="E155" s="23"/>
      <c r="F155" s="23"/>
      <c r="G155" s="23"/>
      <c r="H155" s="24"/>
      <c r="I155" s="24"/>
      <c r="J155" s="24"/>
      <c r="K155" s="5"/>
      <c r="L155" s="24"/>
      <c r="M155" s="24"/>
      <c r="N155" s="25"/>
      <c r="O155" s="25"/>
      <c r="P155" s="25"/>
      <c r="Q155" s="25"/>
      <c r="R155" s="25"/>
      <c r="S155" s="25"/>
      <c r="T155" s="25"/>
      <c r="U155" s="25"/>
      <c r="V155" s="25"/>
      <c r="W155" s="25"/>
      <c r="X155" s="25"/>
      <c r="Y155" s="25"/>
      <c r="Z155" s="25"/>
      <c r="AA155" s="25"/>
      <c r="AB155" s="25"/>
      <c r="AC155" s="25"/>
      <c r="AD155" s="23"/>
    </row>
    <row r="156" spans="1:30" s="6" customFormat="1" x14ac:dyDescent="0.25">
      <c r="A156" s="23"/>
      <c r="C156" s="23"/>
      <c r="D156" s="23"/>
      <c r="E156" s="23"/>
      <c r="F156" s="23"/>
      <c r="G156" s="23"/>
      <c r="H156" s="24"/>
      <c r="I156" s="24"/>
      <c r="J156" s="24"/>
      <c r="K156" s="5"/>
      <c r="L156" s="24"/>
      <c r="M156" s="24"/>
      <c r="N156" s="25"/>
      <c r="O156" s="25"/>
      <c r="P156" s="25"/>
      <c r="Q156" s="25"/>
      <c r="R156" s="25"/>
      <c r="S156" s="25"/>
      <c r="T156" s="25"/>
      <c r="U156" s="25"/>
      <c r="V156" s="25"/>
      <c r="W156" s="25"/>
      <c r="X156" s="25"/>
      <c r="Y156" s="25"/>
      <c r="Z156" s="25"/>
      <c r="AA156" s="25"/>
      <c r="AB156" s="25"/>
      <c r="AC156" s="25"/>
      <c r="AD156" s="23"/>
    </row>
    <row r="157" spans="1:30" s="6" customFormat="1" x14ac:dyDescent="0.25">
      <c r="A157" s="23"/>
      <c r="C157" s="23"/>
      <c r="D157" s="23"/>
      <c r="E157" s="23"/>
      <c r="F157" s="23"/>
      <c r="G157" s="23"/>
      <c r="H157" s="24"/>
      <c r="I157" s="24"/>
      <c r="J157" s="24"/>
      <c r="K157" s="25"/>
      <c r="L157" s="24"/>
      <c r="M157" s="24"/>
      <c r="N157" s="25"/>
      <c r="O157" s="25"/>
      <c r="P157" s="25"/>
      <c r="Q157" s="25"/>
      <c r="R157" s="25"/>
      <c r="S157" s="25"/>
      <c r="T157" s="25"/>
      <c r="U157" s="25"/>
      <c r="V157" s="25"/>
      <c r="W157" s="25"/>
      <c r="X157" s="25"/>
      <c r="Y157" s="25"/>
      <c r="Z157" s="25"/>
      <c r="AA157" s="25"/>
      <c r="AB157" s="25"/>
      <c r="AC157" s="25"/>
      <c r="AD157" s="23"/>
    </row>
    <row r="158" spans="1:30" s="6" customFormat="1" x14ac:dyDescent="0.25">
      <c r="A158" s="23"/>
      <c r="C158" s="23"/>
      <c r="D158" s="23"/>
      <c r="E158" s="23"/>
      <c r="F158" s="23"/>
      <c r="G158" s="23"/>
      <c r="H158" s="24"/>
      <c r="I158" s="24"/>
      <c r="J158" s="24"/>
      <c r="K158" s="25"/>
      <c r="L158" s="24"/>
      <c r="M158" s="24"/>
      <c r="N158" s="25"/>
      <c r="O158" s="25"/>
      <c r="P158" s="25"/>
      <c r="Q158" s="25"/>
      <c r="R158" s="25"/>
      <c r="S158" s="25"/>
      <c r="T158" s="25"/>
      <c r="U158" s="25"/>
      <c r="V158" s="25"/>
      <c r="W158" s="25"/>
      <c r="X158" s="25"/>
      <c r="Y158" s="25"/>
      <c r="Z158" s="25"/>
      <c r="AA158" s="25"/>
      <c r="AB158" s="25"/>
      <c r="AC158" s="25"/>
      <c r="AD158" s="23"/>
    </row>
    <row r="159" spans="1:30" s="6" customFormat="1" x14ac:dyDescent="0.25">
      <c r="A159" s="23"/>
      <c r="C159" s="23"/>
      <c r="D159" s="23"/>
      <c r="E159" s="23"/>
      <c r="F159" s="23"/>
      <c r="G159" s="23"/>
      <c r="H159" s="24"/>
      <c r="I159" s="24"/>
      <c r="J159" s="24"/>
      <c r="K159" s="25"/>
      <c r="L159" s="24"/>
      <c r="M159" s="24"/>
      <c r="N159" s="25"/>
      <c r="O159" s="25"/>
      <c r="P159" s="25"/>
      <c r="Q159" s="25"/>
      <c r="R159" s="25"/>
      <c r="S159" s="25"/>
      <c r="T159" s="25"/>
      <c r="U159" s="25"/>
      <c r="V159" s="25"/>
      <c r="W159" s="25"/>
      <c r="X159" s="25"/>
      <c r="Y159" s="25"/>
      <c r="Z159" s="25"/>
      <c r="AA159" s="25"/>
      <c r="AB159" s="25"/>
      <c r="AC159" s="25"/>
      <c r="AD159" s="23"/>
    </row>
    <row r="160" spans="1:30" s="6" customFormat="1" x14ac:dyDescent="0.25">
      <c r="A160" s="23"/>
      <c r="C160" s="23"/>
      <c r="D160" s="23"/>
      <c r="E160" s="23"/>
      <c r="F160" s="23"/>
      <c r="G160" s="23"/>
      <c r="H160" s="24"/>
      <c r="I160" s="24"/>
      <c r="J160" s="24"/>
      <c r="K160" s="25"/>
      <c r="L160" s="24"/>
      <c r="M160" s="24"/>
      <c r="N160" s="25"/>
      <c r="O160" s="25"/>
      <c r="P160" s="25"/>
      <c r="Q160" s="25"/>
      <c r="R160" s="25"/>
      <c r="S160" s="25"/>
      <c r="T160" s="25"/>
      <c r="U160" s="25"/>
      <c r="V160" s="25"/>
      <c r="W160" s="25"/>
      <c r="X160" s="25"/>
      <c r="Y160" s="25"/>
      <c r="Z160" s="25"/>
      <c r="AA160" s="25"/>
      <c r="AB160" s="25"/>
      <c r="AC160" s="25"/>
      <c r="AD160" s="23"/>
    </row>
    <row r="161" spans="1:30" s="6" customFormat="1" x14ac:dyDescent="0.25">
      <c r="A161" s="23"/>
      <c r="C161" s="23"/>
      <c r="D161" s="23"/>
      <c r="E161" s="23"/>
      <c r="F161" s="23"/>
      <c r="G161" s="23"/>
      <c r="H161" s="24"/>
      <c r="I161" s="24"/>
      <c r="J161" s="24"/>
      <c r="K161" s="25"/>
      <c r="L161" s="24"/>
      <c r="M161" s="24"/>
      <c r="N161" s="25"/>
      <c r="O161" s="25"/>
      <c r="P161" s="25"/>
      <c r="Q161" s="25"/>
      <c r="R161" s="25"/>
      <c r="S161" s="25"/>
      <c r="T161" s="25"/>
      <c r="U161" s="25"/>
      <c r="V161" s="25"/>
      <c r="W161" s="25"/>
      <c r="X161" s="25"/>
      <c r="Y161" s="25"/>
      <c r="Z161" s="25"/>
      <c r="AA161" s="25"/>
      <c r="AB161" s="25"/>
      <c r="AC161" s="25"/>
      <c r="AD161" s="23"/>
    </row>
    <row r="162" spans="1:30" s="6" customFormat="1" x14ac:dyDescent="0.25">
      <c r="A162" s="23"/>
      <c r="C162" s="23"/>
      <c r="D162" s="23"/>
      <c r="E162" s="23"/>
      <c r="F162" s="23"/>
      <c r="G162" s="23"/>
      <c r="H162" s="24"/>
      <c r="I162" s="24"/>
      <c r="J162" s="24"/>
      <c r="K162" s="25"/>
      <c r="L162" s="24"/>
      <c r="M162" s="24"/>
      <c r="N162" s="25"/>
      <c r="O162" s="25"/>
      <c r="P162" s="25"/>
      <c r="Q162" s="25"/>
      <c r="R162" s="25"/>
      <c r="S162" s="25"/>
      <c r="T162" s="25"/>
      <c r="U162" s="25"/>
      <c r="V162" s="25"/>
      <c r="W162" s="25"/>
      <c r="X162" s="25"/>
      <c r="Y162" s="25"/>
      <c r="Z162" s="25"/>
      <c r="AA162" s="25"/>
      <c r="AB162" s="25"/>
      <c r="AC162" s="25"/>
      <c r="AD162" s="23"/>
    </row>
    <row r="163" spans="1:30" s="6" customFormat="1" x14ac:dyDescent="0.25">
      <c r="A163" s="23"/>
      <c r="C163" s="23"/>
      <c r="D163" s="23"/>
      <c r="E163" s="23"/>
      <c r="F163" s="23"/>
      <c r="G163" s="23"/>
      <c r="H163" s="24"/>
      <c r="I163" s="24"/>
      <c r="J163" s="24"/>
      <c r="K163" s="25"/>
      <c r="L163" s="24"/>
      <c r="M163" s="24"/>
      <c r="N163" s="25"/>
      <c r="O163" s="25"/>
      <c r="P163" s="25"/>
      <c r="Q163" s="25"/>
      <c r="R163" s="25"/>
      <c r="S163" s="25"/>
      <c r="T163" s="25"/>
      <c r="U163" s="25"/>
      <c r="V163" s="25"/>
      <c r="W163" s="25"/>
      <c r="X163" s="25"/>
      <c r="Y163" s="25"/>
      <c r="Z163" s="25"/>
      <c r="AA163" s="25"/>
      <c r="AB163" s="25"/>
      <c r="AC163" s="25"/>
      <c r="AD163" s="23"/>
    </row>
    <row r="164" spans="1:30" s="6" customFormat="1" x14ac:dyDescent="0.25">
      <c r="A164" s="23"/>
      <c r="C164" s="23"/>
      <c r="D164" s="23"/>
      <c r="E164" s="23"/>
      <c r="F164" s="23"/>
      <c r="G164" s="23"/>
      <c r="H164" s="24"/>
      <c r="I164" s="24"/>
      <c r="J164" s="24"/>
      <c r="K164" s="25"/>
      <c r="L164" s="24"/>
      <c r="M164" s="24"/>
      <c r="N164" s="25"/>
      <c r="O164" s="25"/>
      <c r="P164" s="25"/>
      <c r="Q164" s="25"/>
      <c r="R164" s="25"/>
      <c r="S164" s="25"/>
      <c r="T164" s="25"/>
      <c r="U164" s="25"/>
      <c r="V164" s="25"/>
      <c r="W164" s="25"/>
      <c r="X164" s="25"/>
      <c r="Y164" s="25"/>
      <c r="Z164" s="25"/>
      <c r="AA164" s="25"/>
      <c r="AB164" s="25"/>
      <c r="AC164" s="25"/>
      <c r="AD164" s="23"/>
    </row>
    <row r="165" spans="1:30" s="6" customFormat="1" x14ac:dyDescent="0.25">
      <c r="A165" s="23"/>
      <c r="C165" s="23"/>
      <c r="D165" s="23"/>
      <c r="E165" s="23"/>
      <c r="F165" s="23"/>
      <c r="G165" s="23"/>
      <c r="H165" s="24"/>
      <c r="I165" s="24"/>
      <c r="J165" s="24"/>
      <c r="K165" s="25"/>
      <c r="L165" s="24"/>
      <c r="M165" s="24"/>
      <c r="N165" s="25"/>
      <c r="O165" s="25"/>
      <c r="P165" s="25"/>
      <c r="Q165" s="25"/>
      <c r="R165" s="25"/>
      <c r="S165" s="25"/>
      <c r="T165" s="25"/>
      <c r="U165" s="25"/>
      <c r="V165" s="25"/>
      <c r="W165" s="25"/>
      <c r="X165" s="25"/>
      <c r="Y165" s="25"/>
      <c r="Z165" s="25"/>
      <c r="AA165" s="25"/>
      <c r="AB165" s="25"/>
      <c r="AC165" s="25"/>
      <c r="AD165" s="23"/>
    </row>
    <row r="166" spans="1:30" s="6" customFormat="1" x14ac:dyDescent="0.25">
      <c r="A166" s="23"/>
      <c r="C166" s="23"/>
      <c r="D166" s="23"/>
      <c r="E166" s="23"/>
      <c r="F166" s="23"/>
      <c r="G166" s="23"/>
      <c r="H166" s="24"/>
      <c r="I166" s="24"/>
      <c r="J166" s="24"/>
      <c r="K166" s="25"/>
      <c r="L166" s="24"/>
      <c r="M166" s="24"/>
      <c r="N166" s="25"/>
      <c r="O166" s="25"/>
      <c r="P166" s="25"/>
      <c r="Q166" s="25"/>
      <c r="R166" s="25"/>
      <c r="S166" s="25"/>
      <c r="T166" s="25"/>
      <c r="U166" s="25"/>
      <c r="V166" s="25"/>
      <c r="W166" s="25"/>
      <c r="X166" s="25"/>
      <c r="Y166" s="25"/>
      <c r="Z166" s="25"/>
      <c r="AA166" s="25"/>
      <c r="AB166" s="25"/>
      <c r="AC166" s="25"/>
      <c r="AD166" s="23"/>
    </row>
    <row r="167" spans="1:30" s="6" customFormat="1" x14ac:dyDescent="0.25">
      <c r="A167" s="23"/>
      <c r="C167" s="23"/>
      <c r="D167" s="23"/>
      <c r="E167" s="23"/>
      <c r="F167" s="23"/>
      <c r="G167" s="23"/>
      <c r="H167" s="24"/>
      <c r="I167" s="24"/>
      <c r="J167" s="24"/>
      <c r="K167" s="25"/>
      <c r="L167" s="24"/>
      <c r="M167" s="24"/>
      <c r="N167" s="25"/>
      <c r="O167" s="25"/>
      <c r="P167" s="25"/>
      <c r="Q167" s="25"/>
      <c r="R167" s="25"/>
      <c r="S167" s="25"/>
      <c r="T167" s="25"/>
      <c r="U167" s="25"/>
      <c r="V167" s="25"/>
      <c r="W167" s="25"/>
      <c r="X167" s="25"/>
      <c r="Y167" s="25"/>
      <c r="Z167" s="25"/>
      <c r="AA167" s="25"/>
      <c r="AB167" s="25"/>
      <c r="AC167" s="25"/>
      <c r="AD167" s="23"/>
    </row>
    <row r="168" spans="1:30" s="6" customFormat="1" x14ac:dyDescent="0.25">
      <c r="A168" s="23"/>
      <c r="C168" s="23"/>
      <c r="D168" s="23"/>
      <c r="E168" s="23"/>
      <c r="F168" s="23"/>
      <c r="G168" s="23"/>
      <c r="H168" s="24"/>
      <c r="I168" s="24"/>
      <c r="J168" s="24"/>
      <c r="K168" s="25"/>
      <c r="L168" s="24"/>
      <c r="M168" s="24"/>
      <c r="N168" s="25"/>
      <c r="O168" s="25"/>
      <c r="P168" s="25"/>
      <c r="Q168" s="25"/>
      <c r="R168" s="25"/>
      <c r="S168" s="25"/>
      <c r="T168" s="25"/>
      <c r="U168" s="25"/>
      <c r="V168" s="25"/>
      <c r="W168" s="25"/>
      <c r="X168" s="25"/>
      <c r="Y168" s="25"/>
      <c r="Z168" s="25"/>
      <c r="AA168" s="25"/>
      <c r="AB168" s="25"/>
      <c r="AC168" s="25"/>
      <c r="AD168" s="23"/>
    </row>
    <row r="169" spans="1:30" s="6" customFormat="1" x14ac:dyDescent="0.25">
      <c r="A169" s="23"/>
      <c r="C169" s="23"/>
      <c r="D169" s="23"/>
      <c r="E169" s="23"/>
      <c r="F169" s="23"/>
      <c r="G169" s="23"/>
      <c r="H169" s="24"/>
      <c r="I169" s="24"/>
      <c r="J169" s="24"/>
      <c r="K169" s="25"/>
      <c r="L169" s="24"/>
      <c r="M169" s="24"/>
      <c r="N169" s="25"/>
      <c r="O169" s="25"/>
      <c r="P169" s="25"/>
      <c r="Q169" s="25"/>
      <c r="R169" s="25"/>
      <c r="S169" s="25"/>
      <c r="T169" s="25"/>
      <c r="U169" s="25"/>
      <c r="V169" s="25"/>
      <c r="W169" s="25"/>
      <c r="X169" s="25"/>
      <c r="Y169" s="25"/>
      <c r="Z169" s="25"/>
      <c r="AA169" s="25"/>
      <c r="AB169" s="25"/>
      <c r="AC169" s="25"/>
      <c r="AD169" s="23"/>
    </row>
    <row r="170" spans="1:30" s="6" customFormat="1" x14ac:dyDescent="0.25">
      <c r="A170" s="23"/>
      <c r="C170" s="23"/>
      <c r="D170" s="23"/>
      <c r="E170" s="23"/>
      <c r="F170" s="23"/>
      <c r="G170" s="23"/>
      <c r="H170" s="24"/>
      <c r="I170" s="24"/>
      <c r="J170" s="24"/>
      <c r="K170" s="25"/>
      <c r="L170" s="24"/>
      <c r="M170" s="24"/>
      <c r="N170" s="25"/>
      <c r="O170" s="25"/>
      <c r="P170" s="25"/>
      <c r="Q170" s="25"/>
      <c r="R170" s="25"/>
      <c r="S170" s="25"/>
      <c r="T170" s="25"/>
      <c r="U170" s="25"/>
      <c r="V170" s="25"/>
      <c r="W170" s="25"/>
      <c r="X170" s="25"/>
      <c r="Y170" s="25"/>
      <c r="Z170" s="25"/>
      <c r="AA170" s="25"/>
      <c r="AB170" s="25"/>
      <c r="AC170" s="25"/>
      <c r="AD170" s="23"/>
    </row>
    <row r="171" spans="1:30" s="6" customFormat="1" x14ac:dyDescent="0.25">
      <c r="A171" s="23"/>
      <c r="C171" s="23"/>
      <c r="D171" s="23"/>
      <c r="E171" s="23"/>
      <c r="F171" s="23"/>
      <c r="G171" s="23"/>
      <c r="H171" s="24"/>
      <c r="I171" s="24"/>
      <c r="J171" s="24"/>
      <c r="K171" s="25"/>
      <c r="L171" s="24"/>
      <c r="M171" s="24"/>
      <c r="N171" s="25"/>
      <c r="O171" s="25"/>
      <c r="P171" s="25"/>
      <c r="Q171" s="25"/>
      <c r="R171" s="25"/>
      <c r="S171" s="25"/>
      <c r="T171" s="25"/>
      <c r="U171" s="25"/>
      <c r="V171" s="25"/>
      <c r="W171" s="25"/>
      <c r="X171" s="25"/>
      <c r="Y171" s="25"/>
      <c r="Z171" s="25"/>
      <c r="AA171" s="25"/>
      <c r="AB171" s="25"/>
      <c r="AC171" s="25"/>
      <c r="AD171" s="23"/>
    </row>
    <row r="172" spans="1:30" s="6" customFormat="1" x14ac:dyDescent="0.25">
      <c r="A172" s="23"/>
      <c r="C172" s="23"/>
      <c r="D172" s="23"/>
      <c r="E172" s="23"/>
      <c r="F172" s="23"/>
      <c r="G172" s="23"/>
      <c r="H172" s="24"/>
      <c r="I172" s="24"/>
      <c r="J172" s="24"/>
      <c r="K172" s="25"/>
      <c r="L172" s="24"/>
      <c r="M172" s="24"/>
      <c r="N172" s="25"/>
      <c r="O172" s="25"/>
      <c r="P172" s="25"/>
      <c r="Q172" s="25"/>
      <c r="R172" s="25"/>
      <c r="S172" s="25"/>
      <c r="T172" s="25"/>
      <c r="U172" s="25"/>
      <c r="V172" s="25"/>
      <c r="W172" s="25"/>
      <c r="X172" s="25"/>
      <c r="Y172" s="25"/>
      <c r="Z172" s="25"/>
      <c r="AA172" s="25"/>
      <c r="AB172" s="25"/>
      <c r="AC172" s="25"/>
      <c r="AD172" s="23"/>
    </row>
    <row r="173" spans="1:30" s="6" customFormat="1" x14ac:dyDescent="0.25">
      <c r="A173" s="23"/>
      <c r="C173" s="23"/>
      <c r="D173" s="23"/>
      <c r="E173" s="23"/>
      <c r="F173" s="23"/>
      <c r="G173" s="23"/>
      <c r="H173" s="24"/>
      <c r="I173" s="24"/>
      <c r="J173" s="24"/>
      <c r="K173" s="25"/>
      <c r="L173" s="24"/>
      <c r="M173" s="24"/>
      <c r="N173" s="25"/>
      <c r="O173" s="25"/>
      <c r="P173" s="25"/>
      <c r="Q173" s="25"/>
      <c r="R173" s="25"/>
      <c r="S173" s="25"/>
      <c r="T173" s="25"/>
      <c r="U173" s="25"/>
      <c r="V173" s="25"/>
      <c r="W173" s="25"/>
      <c r="X173" s="25"/>
      <c r="Y173" s="25"/>
      <c r="Z173" s="25"/>
      <c r="AA173" s="25"/>
      <c r="AB173" s="25"/>
      <c r="AC173" s="25"/>
      <c r="AD173" s="23"/>
    </row>
    <row r="174" spans="1:30" s="6" customFormat="1" x14ac:dyDescent="0.25">
      <c r="A174" s="23"/>
      <c r="C174" s="23"/>
      <c r="D174" s="23"/>
      <c r="E174" s="23"/>
      <c r="F174" s="23"/>
      <c r="G174" s="23"/>
      <c r="H174" s="24"/>
      <c r="I174" s="24"/>
      <c r="J174" s="24"/>
      <c r="K174" s="25"/>
      <c r="L174" s="24"/>
      <c r="M174" s="24"/>
      <c r="N174" s="25"/>
      <c r="O174" s="25"/>
      <c r="P174" s="25"/>
      <c r="Q174" s="25"/>
      <c r="R174" s="25"/>
      <c r="S174" s="25"/>
      <c r="T174" s="25"/>
      <c r="U174" s="25"/>
      <c r="V174" s="25"/>
      <c r="W174" s="25"/>
      <c r="X174" s="25"/>
      <c r="Y174" s="25"/>
      <c r="Z174" s="25"/>
      <c r="AA174" s="25"/>
      <c r="AB174" s="25"/>
      <c r="AC174" s="25"/>
      <c r="AD174" s="23"/>
    </row>
    <row r="175" spans="1:30" s="6" customFormat="1" x14ac:dyDescent="0.25">
      <c r="A175" s="23"/>
      <c r="C175" s="23"/>
      <c r="D175" s="23"/>
      <c r="E175" s="23"/>
      <c r="F175" s="23"/>
      <c r="G175" s="23"/>
      <c r="H175" s="24"/>
      <c r="I175" s="24"/>
      <c r="J175" s="24"/>
      <c r="K175" s="25"/>
      <c r="L175" s="24"/>
      <c r="M175" s="24"/>
      <c r="N175" s="25"/>
      <c r="O175" s="25"/>
      <c r="P175" s="25"/>
      <c r="Q175" s="25"/>
      <c r="R175" s="25"/>
      <c r="S175" s="25"/>
      <c r="T175" s="25"/>
      <c r="U175" s="25"/>
      <c r="V175" s="25"/>
      <c r="W175" s="25"/>
      <c r="X175" s="25"/>
      <c r="Y175" s="25"/>
      <c r="Z175" s="25"/>
      <c r="AA175" s="25"/>
      <c r="AB175" s="25"/>
      <c r="AC175" s="25"/>
      <c r="AD175" s="23"/>
    </row>
    <row r="176" spans="1:30" s="6" customFormat="1" x14ac:dyDescent="0.25">
      <c r="A176" s="23"/>
      <c r="C176" s="23"/>
      <c r="D176" s="23"/>
      <c r="E176" s="23"/>
      <c r="F176" s="23"/>
      <c r="G176" s="23"/>
      <c r="H176" s="24"/>
      <c r="I176" s="24"/>
      <c r="J176" s="24"/>
      <c r="K176" s="25"/>
      <c r="L176" s="24"/>
      <c r="M176" s="24"/>
      <c r="N176" s="25"/>
      <c r="O176" s="25"/>
      <c r="P176" s="25"/>
      <c r="Q176" s="25"/>
      <c r="R176" s="25"/>
      <c r="S176" s="25"/>
      <c r="T176" s="25"/>
      <c r="U176" s="25"/>
      <c r="V176" s="25"/>
      <c r="W176" s="25"/>
      <c r="X176" s="25"/>
      <c r="Y176" s="25"/>
      <c r="Z176" s="25"/>
      <c r="AA176" s="25"/>
      <c r="AB176" s="25"/>
      <c r="AC176" s="25"/>
      <c r="AD176" s="23"/>
    </row>
    <row r="177" spans="1:30" s="6" customFormat="1" x14ac:dyDescent="0.25">
      <c r="A177" s="23"/>
      <c r="C177" s="23"/>
      <c r="D177" s="23"/>
      <c r="E177" s="23"/>
      <c r="F177" s="23"/>
      <c r="G177" s="23"/>
      <c r="H177" s="24"/>
      <c r="I177" s="24"/>
      <c r="J177" s="24"/>
      <c r="K177" s="25"/>
      <c r="L177" s="24"/>
      <c r="M177" s="24"/>
      <c r="N177" s="25"/>
      <c r="O177" s="25"/>
      <c r="P177" s="25"/>
      <c r="Q177" s="25"/>
      <c r="R177" s="25"/>
      <c r="S177" s="25"/>
      <c r="T177" s="25"/>
      <c r="U177" s="25"/>
      <c r="V177" s="25"/>
      <c r="W177" s="25"/>
      <c r="X177" s="25"/>
      <c r="Y177" s="25"/>
      <c r="Z177" s="25"/>
      <c r="AA177" s="25"/>
      <c r="AB177" s="25"/>
      <c r="AC177" s="25"/>
      <c r="AD177" s="23"/>
    </row>
    <row r="178" spans="1:30" s="6" customFormat="1" x14ac:dyDescent="0.25">
      <c r="A178" s="23"/>
      <c r="C178" s="23"/>
      <c r="D178" s="23"/>
      <c r="E178" s="23"/>
      <c r="F178" s="23"/>
      <c r="G178" s="23"/>
      <c r="H178" s="24"/>
      <c r="I178" s="24"/>
      <c r="J178" s="24"/>
      <c r="K178" s="25"/>
      <c r="L178" s="24"/>
      <c r="M178" s="24"/>
      <c r="N178" s="25"/>
      <c r="O178" s="25"/>
      <c r="P178" s="25"/>
      <c r="Q178" s="25"/>
      <c r="R178" s="25"/>
      <c r="S178" s="25"/>
      <c r="T178" s="25"/>
      <c r="U178" s="25"/>
      <c r="V178" s="25"/>
      <c r="W178" s="25"/>
      <c r="X178" s="25"/>
      <c r="Y178" s="25"/>
      <c r="Z178" s="25"/>
      <c r="AA178" s="25"/>
      <c r="AB178" s="25"/>
      <c r="AC178" s="25"/>
      <c r="AD178" s="23"/>
    </row>
    <row r="179" spans="1:30" s="6" customFormat="1" x14ac:dyDescent="0.25">
      <c r="A179" s="23"/>
      <c r="C179" s="23"/>
      <c r="D179" s="23"/>
      <c r="E179" s="23"/>
      <c r="F179" s="23"/>
      <c r="G179" s="23"/>
      <c r="H179" s="24"/>
      <c r="I179" s="24"/>
      <c r="J179" s="24"/>
      <c r="K179" s="25"/>
      <c r="L179" s="24"/>
      <c r="M179" s="24"/>
      <c r="N179" s="25"/>
      <c r="O179" s="25"/>
      <c r="P179" s="25"/>
      <c r="Q179" s="25"/>
      <c r="R179" s="25"/>
      <c r="S179" s="25"/>
      <c r="T179" s="25"/>
      <c r="U179" s="25"/>
      <c r="V179" s="25"/>
      <c r="W179" s="25"/>
      <c r="X179" s="25"/>
      <c r="Y179" s="25"/>
      <c r="Z179" s="25"/>
      <c r="AA179" s="25"/>
      <c r="AB179" s="25"/>
      <c r="AC179" s="25"/>
      <c r="AD179" s="23"/>
    </row>
    <row r="180" spans="1:30" s="6" customFormat="1" x14ac:dyDescent="0.25">
      <c r="A180" s="23"/>
      <c r="C180" s="23"/>
      <c r="D180" s="23"/>
      <c r="E180" s="23"/>
      <c r="F180" s="23"/>
      <c r="G180" s="23"/>
      <c r="H180" s="24"/>
      <c r="I180" s="24"/>
      <c r="J180" s="24"/>
      <c r="K180" s="25"/>
      <c r="L180" s="24"/>
      <c r="M180" s="24"/>
      <c r="N180" s="25"/>
      <c r="O180" s="25"/>
      <c r="P180" s="25"/>
      <c r="Q180" s="25"/>
      <c r="R180" s="25"/>
      <c r="S180" s="25"/>
      <c r="T180" s="25"/>
      <c r="U180" s="25"/>
      <c r="V180" s="25"/>
      <c r="W180" s="25"/>
      <c r="X180" s="25"/>
      <c r="Y180" s="25"/>
      <c r="Z180" s="25"/>
      <c r="AA180" s="25"/>
      <c r="AB180" s="25"/>
      <c r="AC180" s="25"/>
      <c r="AD180" s="23"/>
    </row>
    <row r="181" spans="1:30" s="6" customFormat="1" x14ac:dyDescent="0.25">
      <c r="A181" s="23"/>
      <c r="C181" s="23"/>
      <c r="D181" s="23"/>
      <c r="E181" s="23"/>
      <c r="F181" s="23"/>
      <c r="G181" s="23"/>
      <c r="H181" s="24"/>
      <c r="I181" s="24"/>
      <c r="J181" s="24"/>
      <c r="K181" s="25"/>
      <c r="L181" s="24"/>
      <c r="M181" s="24"/>
      <c r="N181" s="25"/>
      <c r="O181" s="25"/>
      <c r="P181" s="25"/>
      <c r="Q181" s="25"/>
      <c r="R181" s="25"/>
      <c r="S181" s="25"/>
      <c r="T181" s="25"/>
      <c r="U181" s="25"/>
      <c r="V181" s="25"/>
      <c r="W181" s="25"/>
      <c r="X181" s="25"/>
      <c r="Y181" s="25"/>
      <c r="Z181" s="25"/>
      <c r="AA181" s="25"/>
      <c r="AB181" s="25"/>
      <c r="AC181" s="25"/>
      <c r="AD181" s="23"/>
    </row>
    <row r="182" spans="1:30" s="6" customFormat="1" x14ac:dyDescent="0.25">
      <c r="A182" s="23"/>
      <c r="C182" s="23"/>
      <c r="D182" s="23"/>
      <c r="E182" s="23"/>
      <c r="F182" s="23"/>
      <c r="G182" s="23"/>
      <c r="H182" s="24"/>
      <c r="I182" s="24"/>
      <c r="J182" s="24"/>
      <c r="K182" s="25"/>
      <c r="L182" s="24"/>
      <c r="M182" s="24"/>
      <c r="N182" s="25"/>
      <c r="O182" s="25"/>
      <c r="P182" s="25"/>
      <c r="Q182" s="25"/>
      <c r="R182" s="25"/>
      <c r="S182" s="25"/>
      <c r="T182" s="25"/>
      <c r="U182" s="25"/>
      <c r="V182" s="25"/>
      <c r="W182" s="25"/>
      <c r="X182" s="25"/>
      <c r="Y182" s="25"/>
      <c r="Z182" s="25"/>
      <c r="AA182" s="25"/>
      <c r="AB182" s="25"/>
      <c r="AC182" s="25"/>
      <c r="AD182" s="23"/>
    </row>
    <row r="183" spans="1:30" s="6" customFormat="1" x14ac:dyDescent="0.25">
      <c r="A183" s="23"/>
      <c r="C183" s="23"/>
      <c r="D183" s="23"/>
      <c r="E183" s="23"/>
      <c r="F183" s="23"/>
      <c r="G183" s="23"/>
      <c r="H183" s="24"/>
      <c r="I183" s="24"/>
      <c r="J183" s="24"/>
      <c r="K183" s="25"/>
      <c r="L183" s="24"/>
      <c r="M183" s="24"/>
      <c r="N183" s="25"/>
      <c r="O183" s="25"/>
      <c r="P183" s="25"/>
      <c r="Q183" s="25"/>
      <c r="R183" s="25"/>
      <c r="S183" s="25"/>
      <c r="T183" s="25"/>
      <c r="U183" s="25"/>
      <c r="V183" s="25"/>
      <c r="W183" s="25"/>
      <c r="X183" s="25"/>
      <c r="Y183" s="25"/>
      <c r="Z183" s="25"/>
      <c r="AA183" s="25"/>
      <c r="AB183" s="25"/>
      <c r="AC183" s="25"/>
      <c r="AD183" s="23"/>
    </row>
    <row r="184" spans="1:30" s="6" customFormat="1" x14ac:dyDescent="0.25">
      <c r="A184" s="23"/>
      <c r="C184" s="23"/>
      <c r="D184" s="23"/>
      <c r="E184" s="23"/>
      <c r="F184" s="23"/>
      <c r="G184" s="23"/>
      <c r="H184" s="24"/>
      <c r="I184" s="24"/>
      <c r="J184" s="24"/>
      <c r="K184" s="25"/>
      <c r="L184" s="24"/>
      <c r="M184" s="24"/>
      <c r="N184" s="25"/>
      <c r="O184" s="25"/>
      <c r="P184" s="25"/>
      <c r="Q184" s="25"/>
      <c r="R184" s="25"/>
      <c r="S184" s="25"/>
      <c r="T184" s="25"/>
      <c r="U184" s="25"/>
      <c r="V184" s="25"/>
      <c r="W184" s="25"/>
      <c r="X184" s="25"/>
      <c r="Y184" s="25"/>
      <c r="Z184" s="25"/>
      <c r="AA184" s="25"/>
      <c r="AB184" s="25"/>
      <c r="AC184" s="25"/>
      <c r="AD184" s="23"/>
    </row>
    <row r="185" spans="1:30" s="6" customFormat="1" x14ac:dyDescent="0.25">
      <c r="A185" s="23"/>
      <c r="C185" s="23"/>
      <c r="D185" s="23"/>
      <c r="E185" s="23"/>
      <c r="F185" s="23"/>
      <c r="G185" s="23"/>
      <c r="H185" s="24"/>
      <c r="I185" s="24"/>
      <c r="J185" s="24"/>
      <c r="K185" s="25"/>
      <c r="L185" s="24"/>
      <c r="M185" s="24"/>
      <c r="N185" s="25"/>
      <c r="O185" s="25"/>
      <c r="P185" s="25"/>
      <c r="Q185" s="25"/>
      <c r="R185" s="25"/>
      <c r="S185" s="25"/>
      <c r="T185" s="25"/>
      <c r="U185" s="25"/>
      <c r="V185" s="25"/>
      <c r="W185" s="25"/>
      <c r="X185" s="25"/>
      <c r="Y185" s="25"/>
      <c r="Z185" s="25"/>
      <c r="AA185" s="25"/>
      <c r="AB185" s="25"/>
      <c r="AC185" s="25"/>
      <c r="AD185" s="23"/>
    </row>
    <row r="186" spans="1:30" s="6" customFormat="1" x14ac:dyDescent="0.25">
      <c r="A186" s="23"/>
      <c r="C186" s="23"/>
      <c r="D186" s="23"/>
      <c r="E186" s="23"/>
      <c r="F186" s="23"/>
      <c r="G186" s="23"/>
      <c r="H186" s="24"/>
      <c r="I186" s="24"/>
      <c r="J186" s="24"/>
      <c r="K186" s="25"/>
      <c r="L186" s="24"/>
      <c r="M186" s="24"/>
      <c r="N186" s="25"/>
      <c r="O186" s="25"/>
      <c r="P186" s="25"/>
      <c r="Q186" s="25"/>
      <c r="R186" s="25"/>
      <c r="S186" s="25"/>
      <c r="T186" s="25"/>
      <c r="U186" s="25"/>
      <c r="V186" s="25"/>
      <c r="W186" s="25"/>
      <c r="X186" s="25"/>
      <c r="Y186" s="25"/>
      <c r="Z186" s="25"/>
      <c r="AA186" s="25"/>
      <c r="AB186" s="25"/>
      <c r="AC186" s="25"/>
      <c r="AD186" s="23"/>
    </row>
    <row r="187" spans="1:30" s="6" customFormat="1" x14ac:dyDescent="0.25">
      <c r="A187" s="23"/>
      <c r="C187" s="23"/>
      <c r="D187" s="23"/>
      <c r="E187" s="23"/>
      <c r="F187" s="23"/>
      <c r="G187" s="23"/>
      <c r="H187" s="24"/>
      <c r="I187" s="24"/>
      <c r="J187" s="24"/>
      <c r="K187" s="25"/>
      <c r="L187" s="24"/>
      <c r="M187" s="24"/>
      <c r="N187" s="25"/>
      <c r="O187" s="25"/>
      <c r="P187" s="25"/>
      <c r="Q187" s="25"/>
      <c r="R187" s="25"/>
      <c r="S187" s="25"/>
      <c r="T187" s="25"/>
      <c r="U187" s="25"/>
      <c r="V187" s="25"/>
      <c r="W187" s="25"/>
      <c r="X187" s="25"/>
      <c r="Y187" s="25"/>
      <c r="Z187" s="25"/>
      <c r="AA187" s="25"/>
      <c r="AB187" s="25"/>
      <c r="AC187" s="25"/>
      <c r="AD187" s="23"/>
    </row>
    <row r="188" spans="1:30" s="6" customFormat="1" x14ac:dyDescent="0.25">
      <c r="A188" s="23"/>
      <c r="C188" s="23"/>
      <c r="D188" s="23"/>
      <c r="E188" s="23"/>
      <c r="F188" s="23"/>
      <c r="G188" s="23"/>
      <c r="H188" s="24"/>
      <c r="I188" s="24"/>
      <c r="J188" s="24"/>
      <c r="K188" s="25"/>
      <c r="L188" s="24"/>
      <c r="M188" s="24"/>
      <c r="N188" s="25"/>
      <c r="O188" s="25"/>
      <c r="P188" s="25"/>
      <c r="Q188" s="25"/>
      <c r="R188" s="25"/>
      <c r="S188" s="25"/>
      <c r="T188" s="25"/>
      <c r="U188" s="25"/>
      <c r="V188" s="25"/>
      <c r="W188" s="25"/>
      <c r="X188" s="25"/>
      <c r="Y188" s="25"/>
      <c r="Z188" s="25"/>
      <c r="AA188" s="25"/>
      <c r="AB188" s="25"/>
      <c r="AC188" s="25"/>
      <c r="AD188" s="23"/>
    </row>
    <row r="189" spans="1:30" s="6" customFormat="1" x14ac:dyDescent="0.25">
      <c r="A189" s="23"/>
      <c r="C189" s="23"/>
      <c r="D189" s="23"/>
      <c r="E189" s="23"/>
      <c r="F189" s="23"/>
      <c r="G189" s="23"/>
      <c r="H189" s="24"/>
      <c r="I189" s="24"/>
      <c r="J189" s="24"/>
      <c r="K189" s="25"/>
      <c r="L189" s="24"/>
      <c r="M189" s="24"/>
      <c r="N189" s="25"/>
      <c r="O189" s="25"/>
      <c r="P189" s="25"/>
      <c r="Q189" s="25"/>
      <c r="R189" s="25"/>
      <c r="S189" s="25"/>
      <c r="T189" s="25"/>
      <c r="U189" s="25"/>
      <c r="V189" s="25"/>
      <c r="W189" s="25"/>
      <c r="X189" s="25"/>
      <c r="Y189" s="25"/>
      <c r="Z189" s="25"/>
      <c r="AA189" s="25"/>
      <c r="AB189" s="25"/>
      <c r="AC189" s="25"/>
      <c r="AD189" s="23"/>
    </row>
    <row r="190" spans="1:30" s="6" customFormat="1" x14ac:dyDescent="0.25">
      <c r="A190" s="23"/>
      <c r="C190" s="23"/>
      <c r="D190" s="23"/>
      <c r="E190" s="23"/>
      <c r="F190" s="23"/>
      <c r="G190" s="23"/>
      <c r="H190" s="24"/>
      <c r="I190" s="24"/>
      <c r="J190" s="24"/>
      <c r="K190" s="25"/>
      <c r="L190" s="24"/>
      <c r="M190" s="24"/>
      <c r="N190" s="25"/>
      <c r="O190" s="25"/>
      <c r="P190" s="25"/>
      <c r="Q190" s="25"/>
      <c r="R190" s="25"/>
      <c r="S190" s="25"/>
      <c r="T190" s="25"/>
      <c r="U190" s="25"/>
      <c r="V190" s="25"/>
      <c r="W190" s="25"/>
      <c r="X190" s="25"/>
      <c r="Y190" s="25"/>
      <c r="Z190" s="25"/>
      <c r="AA190" s="25"/>
      <c r="AB190" s="25"/>
      <c r="AC190" s="25"/>
      <c r="AD190" s="23"/>
    </row>
    <row r="191" spans="1:30" s="6" customFormat="1" x14ac:dyDescent="0.25">
      <c r="A191" s="23"/>
      <c r="C191" s="23"/>
      <c r="D191" s="23"/>
      <c r="E191" s="23"/>
      <c r="F191" s="23"/>
      <c r="G191" s="23"/>
      <c r="H191" s="24"/>
      <c r="I191" s="24"/>
      <c r="J191" s="24"/>
      <c r="K191" s="25"/>
      <c r="L191" s="24"/>
      <c r="M191" s="24"/>
      <c r="N191" s="25"/>
      <c r="O191" s="25"/>
      <c r="P191" s="25"/>
      <c r="Q191" s="25"/>
      <c r="R191" s="25"/>
      <c r="S191" s="25"/>
      <c r="T191" s="25"/>
      <c r="U191" s="25"/>
      <c r="V191" s="25"/>
      <c r="W191" s="25"/>
      <c r="X191" s="25"/>
      <c r="Y191" s="25"/>
      <c r="Z191" s="25"/>
      <c r="AA191" s="25"/>
      <c r="AB191" s="25"/>
      <c r="AC191" s="25"/>
      <c r="AD191" s="23"/>
    </row>
    <row r="192" spans="1:30" s="6" customFormat="1" x14ac:dyDescent="0.25">
      <c r="A192" s="23"/>
      <c r="C192" s="23"/>
      <c r="D192" s="23"/>
      <c r="E192" s="23"/>
      <c r="F192" s="23"/>
      <c r="G192" s="23"/>
      <c r="H192" s="24"/>
      <c r="I192" s="24"/>
      <c r="J192" s="24"/>
      <c r="K192" s="25"/>
      <c r="L192" s="24"/>
      <c r="M192" s="24"/>
      <c r="N192" s="25"/>
      <c r="O192" s="25"/>
      <c r="P192" s="25"/>
      <c r="Q192" s="25"/>
      <c r="R192" s="25"/>
      <c r="S192" s="25"/>
      <c r="T192" s="25"/>
      <c r="U192" s="25"/>
      <c r="V192" s="25"/>
      <c r="W192" s="25"/>
      <c r="X192" s="25"/>
      <c r="Y192" s="25"/>
      <c r="Z192" s="25"/>
      <c r="AA192" s="25"/>
      <c r="AB192" s="25"/>
      <c r="AC192" s="25"/>
      <c r="AD192" s="23"/>
    </row>
    <row r="193" spans="1:31" s="6" customFormat="1" x14ac:dyDescent="0.25">
      <c r="A193" s="23"/>
      <c r="C193" s="23"/>
      <c r="D193" s="23"/>
      <c r="E193" s="23"/>
      <c r="F193" s="23"/>
      <c r="G193" s="23"/>
      <c r="H193" s="24"/>
      <c r="I193" s="24"/>
      <c r="J193" s="24"/>
      <c r="K193" s="25"/>
      <c r="L193" s="24"/>
      <c r="M193" s="24"/>
      <c r="N193" s="25"/>
      <c r="O193" s="25"/>
      <c r="P193" s="25"/>
      <c r="Q193" s="25"/>
      <c r="R193" s="25"/>
      <c r="S193" s="25"/>
      <c r="T193" s="25"/>
      <c r="U193" s="25"/>
      <c r="V193" s="25"/>
      <c r="W193" s="25"/>
      <c r="X193" s="25"/>
      <c r="Y193" s="25"/>
      <c r="Z193" s="25"/>
      <c r="AA193" s="25"/>
      <c r="AB193" s="25"/>
      <c r="AC193" s="25"/>
      <c r="AD193" s="23"/>
    </row>
    <row r="194" spans="1:31" s="6" customFormat="1" x14ac:dyDescent="0.25">
      <c r="A194" s="23"/>
      <c r="C194" s="23"/>
      <c r="D194" s="23"/>
      <c r="E194" s="23"/>
      <c r="F194" s="23"/>
      <c r="G194" s="23"/>
      <c r="H194" s="24"/>
      <c r="I194" s="24"/>
      <c r="J194" s="24"/>
      <c r="K194" s="25"/>
      <c r="L194" s="24"/>
      <c r="M194" s="24"/>
      <c r="N194" s="25"/>
      <c r="O194" s="25"/>
      <c r="P194" s="25"/>
      <c r="Q194" s="25"/>
      <c r="R194" s="25"/>
      <c r="S194" s="25"/>
      <c r="T194" s="25"/>
      <c r="U194" s="25"/>
      <c r="V194" s="25"/>
      <c r="W194" s="25"/>
      <c r="X194" s="25"/>
      <c r="Y194" s="25"/>
      <c r="Z194" s="25"/>
      <c r="AA194" s="25"/>
      <c r="AB194" s="25"/>
      <c r="AC194" s="25"/>
      <c r="AD194" s="23"/>
    </row>
    <row r="195" spans="1:31" s="6" customFormat="1" x14ac:dyDescent="0.25">
      <c r="A195" s="23"/>
      <c r="C195" s="23"/>
      <c r="D195" s="23"/>
      <c r="E195" s="23"/>
      <c r="F195" s="23"/>
      <c r="G195" s="23"/>
      <c r="H195" s="24"/>
      <c r="I195" s="24"/>
      <c r="J195" s="24"/>
      <c r="K195" s="25"/>
      <c r="L195" s="24"/>
      <c r="M195" s="24"/>
      <c r="N195" s="25"/>
      <c r="O195" s="25"/>
      <c r="P195" s="25"/>
      <c r="Q195" s="25"/>
      <c r="R195" s="25"/>
      <c r="S195" s="25"/>
      <c r="T195" s="25"/>
      <c r="U195" s="25"/>
      <c r="V195" s="25"/>
      <c r="W195" s="25"/>
      <c r="X195" s="25"/>
      <c r="Y195" s="25"/>
      <c r="Z195" s="25"/>
      <c r="AA195" s="25"/>
      <c r="AB195" s="25"/>
      <c r="AC195" s="25"/>
      <c r="AD195" s="23"/>
    </row>
    <row r="196" spans="1:31" s="6" customFormat="1" x14ac:dyDescent="0.25">
      <c r="A196" s="23"/>
      <c r="C196" s="23"/>
      <c r="D196" s="23"/>
      <c r="E196" s="23"/>
      <c r="F196" s="23"/>
      <c r="G196" s="23"/>
      <c r="H196" s="24"/>
      <c r="I196" s="24"/>
      <c r="J196" s="24"/>
      <c r="K196" s="25"/>
      <c r="L196" s="24"/>
      <c r="M196" s="24"/>
      <c r="N196" s="25"/>
      <c r="O196" s="25"/>
      <c r="P196" s="25"/>
      <c r="Q196" s="25"/>
      <c r="R196" s="25"/>
      <c r="S196" s="25"/>
      <c r="T196" s="25"/>
      <c r="U196" s="25"/>
      <c r="V196" s="25"/>
      <c r="W196" s="25"/>
      <c r="X196" s="25"/>
      <c r="Y196" s="25"/>
      <c r="Z196" s="25"/>
      <c r="AA196" s="25"/>
      <c r="AB196" s="25"/>
      <c r="AC196" s="25"/>
      <c r="AD196" s="23"/>
    </row>
    <row r="197" spans="1:31" s="6" customFormat="1" x14ac:dyDescent="0.25">
      <c r="A197" s="23"/>
      <c r="C197" s="23"/>
      <c r="D197" s="23"/>
      <c r="E197" s="23"/>
      <c r="F197" s="23"/>
      <c r="G197" s="23"/>
      <c r="H197" s="24"/>
      <c r="I197" s="24"/>
      <c r="J197" s="24"/>
      <c r="K197" s="25"/>
      <c r="L197" s="24"/>
      <c r="M197" s="24"/>
      <c r="N197" s="25"/>
      <c r="O197" s="25"/>
      <c r="P197" s="25"/>
      <c r="Q197" s="25"/>
      <c r="R197" s="25"/>
      <c r="S197" s="25"/>
      <c r="T197" s="25"/>
      <c r="U197" s="25"/>
      <c r="V197" s="25"/>
      <c r="W197" s="25"/>
      <c r="X197" s="25"/>
      <c r="Y197" s="25"/>
      <c r="Z197" s="25"/>
      <c r="AA197" s="25"/>
      <c r="AB197" s="25"/>
      <c r="AC197" s="25"/>
      <c r="AD197" s="23"/>
    </row>
    <row r="198" spans="1:31" s="6" customFormat="1" x14ac:dyDescent="0.25">
      <c r="A198" s="23"/>
      <c r="C198" s="23"/>
      <c r="D198" s="23"/>
      <c r="E198" s="23"/>
      <c r="F198" s="23"/>
      <c r="G198" s="23"/>
      <c r="H198" s="24"/>
      <c r="I198" s="24"/>
      <c r="J198" s="24"/>
      <c r="K198" s="25"/>
      <c r="L198" s="24"/>
      <c r="M198" s="24"/>
      <c r="N198" s="25"/>
      <c r="O198" s="25"/>
      <c r="P198" s="25"/>
      <c r="Q198" s="25"/>
      <c r="R198" s="25"/>
      <c r="S198" s="25"/>
      <c r="T198" s="25"/>
      <c r="U198" s="25"/>
      <c r="V198" s="25"/>
      <c r="W198" s="25"/>
      <c r="X198" s="25"/>
      <c r="Y198" s="25"/>
      <c r="Z198" s="25"/>
      <c r="AA198" s="25"/>
      <c r="AB198" s="25"/>
      <c r="AC198" s="25"/>
      <c r="AD198" s="23"/>
    </row>
    <row r="199" spans="1:31" s="6" customFormat="1" x14ac:dyDescent="0.25">
      <c r="A199" s="23"/>
      <c r="C199" s="23"/>
      <c r="D199" s="23"/>
      <c r="E199" s="23"/>
      <c r="F199" s="23"/>
      <c r="G199" s="23"/>
      <c r="H199" s="24"/>
      <c r="I199" s="24"/>
      <c r="J199" s="24"/>
      <c r="K199" s="25"/>
      <c r="L199" s="24"/>
      <c r="M199" s="24"/>
      <c r="N199" s="25"/>
      <c r="O199" s="25"/>
      <c r="P199" s="25"/>
      <c r="Q199" s="25"/>
      <c r="R199" s="25"/>
      <c r="S199" s="25"/>
      <c r="T199" s="25"/>
      <c r="U199" s="25"/>
      <c r="V199" s="25"/>
      <c r="W199" s="25"/>
      <c r="X199" s="25"/>
      <c r="Y199" s="25"/>
      <c r="Z199" s="25"/>
      <c r="AA199" s="25"/>
      <c r="AB199" s="25"/>
      <c r="AC199" s="25"/>
      <c r="AD199" s="23"/>
    </row>
    <row r="200" spans="1:31" s="6" customFormat="1" x14ac:dyDescent="0.25">
      <c r="A200" s="23"/>
      <c r="C200" s="23"/>
      <c r="D200" s="23"/>
      <c r="E200" s="23"/>
      <c r="F200" s="23"/>
      <c r="G200" s="23"/>
      <c r="H200" s="24"/>
      <c r="I200" s="24"/>
      <c r="J200" s="24"/>
      <c r="K200" s="25"/>
      <c r="L200" s="24"/>
      <c r="M200" s="24"/>
      <c r="N200" s="25"/>
      <c r="O200" s="25"/>
      <c r="P200" s="25"/>
      <c r="Q200" s="25"/>
      <c r="R200" s="25"/>
      <c r="S200" s="25"/>
      <c r="T200" s="25"/>
      <c r="U200" s="25"/>
      <c r="V200" s="25"/>
      <c r="W200" s="25"/>
      <c r="X200" s="25"/>
      <c r="Y200" s="25"/>
      <c r="Z200" s="25"/>
      <c r="AA200" s="25"/>
      <c r="AB200" s="25"/>
      <c r="AC200" s="25"/>
      <c r="AD200" s="23"/>
    </row>
    <row r="201" spans="1:31" s="6" customFormat="1" x14ac:dyDescent="0.25">
      <c r="A201" s="23"/>
      <c r="C201" s="23"/>
      <c r="D201" s="23"/>
      <c r="E201" s="23"/>
      <c r="F201" s="23"/>
      <c r="G201" s="23"/>
      <c r="H201" s="24"/>
      <c r="I201" s="24"/>
      <c r="J201" s="24"/>
      <c r="K201" s="25"/>
      <c r="L201" s="24"/>
      <c r="M201" s="24"/>
      <c r="N201" s="25"/>
      <c r="O201" s="25"/>
      <c r="P201" s="25"/>
      <c r="Q201" s="25"/>
      <c r="R201" s="25"/>
      <c r="S201" s="25"/>
      <c r="T201" s="25"/>
      <c r="U201" s="25"/>
      <c r="V201" s="25"/>
      <c r="W201" s="25"/>
      <c r="X201" s="25"/>
      <c r="Y201" s="25"/>
      <c r="Z201" s="25"/>
      <c r="AA201" s="25"/>
      <c r="AB201" s="25"/>
      <c r="AC201" s="25"/>
      <c r="AD201" s="23"/>
    </row>
    <row r="202" spans="1:31" s="6" customFormat="1" x14ac:dyDescent="0.25">
      <c r="A202" s="23"/>
      <c r="C202" s="23"/>
      <c r="D202" s="23"/>
      <c r="E202" s="23"/>
      <c r="F202" s="23"/>
      <c r="G202" s="23"/>
      <c r="H202" s="24"/>
      <c r="I202" s="24"/>
      <c r="J202" s="24"/>
      <c r="K202" s="25"/>
      <c r="L202" s="24"/>
      <c r="M202" s="24"/>
      <c r="N202" s="25"/>
      <c r="O202" s="25"/>
      <c r="P202" s="25"/>
      <c r="Q202" s="25"/>
      <c r="R202" s="25"/>
      <c r="S202" s="25"/>
      <c r="T202" s="25"/>
      <c r="U202" s="25"/>
      <c r="V202" s="25"/>
      <c r="W202" s="25"/>
      <c r="X202" s="25"/>
      <c r="Y202" s="25"/>
      <c r="Z202" s="25"/>
      <c r="AA202" s="25"/>
      <c r="AB202" s="25"/>
      <c r="AC202" s="25"/>
      <c r="AD202" s="23"/>
    </row>
    <row r="203" spans="1:31" s="6" customFormat="1" x14ac:dyDescent="0.25">
      <c r="A203" s="23"/>
      <c r="C203" s="23"/>
      <c r="D203" s="23"/>
      <c r="E203" s="23"/>
      <c r="F203" s="23"/>
      <c r="G203" s="23"/>
      <c r="H203" s="24"/>
      <c r="I203" s="24"/>
      <c r="J203" s="24"/>
      <c r="K203" s="25"/>
      <c r="L203" s="24"/>
      <c r="M203" s="24"/>
      <c r="N203" s="25"/>
      <c r="O203" s="25"/>
      <c r="P203" s="25"/>
      <c r="Q203" s="25"/>
      <c r="R203" s="25"/>
      <c r="S203" s="25"/>
      <c r="T203" s="25"/>
      <c r="U203" s="25"/>
      <c r="V203" s="25"/>
      <c r="W203" s="25"/>
      <c r="X203" s="25"/>
      <c r="Y203" s="25"/>
      <c r="Z203" s="25"/>
      <c r="AA203" s="25"/>
      <c r="AB203" s="25"/>
      <c r="AC203" s="25"/>
      <c r="AD203" s="23"/>
    </row>
    <row r="204" spans="1:31" s="6" customFormat="1" x14ac:dyDescent="0.25">
      <c r="A204" s="23"/>
      <c r="C204" s="23"/>
      <c r="D204" s="23"/>
      <c r="E204" s="23"/>
      <c r="F204" s="23"/>
      <c r="G204" s="23"/>
      <c r="H204" s="24"/>
      <c r="I204" s="24"/>
      <c r="J204" s="24"/>
      <c r="K204" s="25"/>
      <c r="L204" s="24"/>
      <c r="M204" s="24"/>
      <c r="N204" s="25"/>
      <c r="O204" s="25"/>
      <c r="P204" s="25"/>
      <c r="Q204" s="25"/>
      <c r="R204" s="25"/>
      <c r="S204" s="25"/>
      <c r="T204" s="25"/>
      <c r="U204" s="25"/>
      <c r="V204" s="25"/>
      <c r="W204" s="25"/>
      <c r="X204" s="25"/>
      <c r="Y204" s="25"/>
      <c r="Z204" s="25"/>
      <c r="AA204" s="25"/>
      <c r="AB204" s="25"/>
      <c r="AC204" s="25"/>
      <c r="AD204" s="23"/>
    </row>
    <row r="205" spans="1:31" s="6" customFormat="1" x14ac:dyDescent="0.25">
      <c r="A205" s="23"/>
      <c r="C205" s="23"/>
      <c r="D205" s="23"/>
      <c r="E205" s="23"/>
      <c r="F205" s="23"/>
      <c r="G205" s="23"/>
      <c r="H205" s="24"/>
      <c r="I205" s="24"/>
      <c r="J205" s="24"/>
      <c r="K205" s="25"/>
      <c r="L205" s="24"/>
      <c r="M205" s="24"/>
      <c r="N205" s="25"/>
      <c r="O205" s="25"/>
      <c r="P205" s="25"/>
      <c r="Q205" s="25"/>
      <c r="R205" s="25"/>
      <c r="S205" s="25"/>
      <c r="T205" s="25"/>
      <c r="U205" s="25"/>
      <c r="V205" s="25"/>
      <c r="W205" s="25"/>
      <c r="X205" s="25"/>
      <c r="Y205" s="25"/>
      <c r="Z205" s="25"/>
      <c r="AA205" s="25"/>
      <c r="AB205" s="25"/>
      <c r="AC205" s="25"/>
      <c r="AD205" s="23"/>
    </row>
    <row r="206" spans="1:31" s="6" customFormat="1" x14ac:dyDescent="0.25">
      <c r="A206" s="23"/>
      <c r="C206" s="23"/>
      <c r="D206" s="23"/>
      <c r="E206" s="23"/>
      <c r="F206" s="23"/>
      <c r="G206" s="23"/>
      <c r="H206" s="24"/>
      <c r="I206" s="24"/>
      <c r="J206" s="24"/>
      <c r="K206" s="25"/>
      <c r="L206" s="24"/>
      <c r="M206" s="24"/>
      <c r="N206" s="25"/>
      <c r="O206" s="25"/>
      <c r="P206" s="25"/>
      <c r="Q206" s="25"/>
      <c r="R206" s="25"/>
      <c r="S206" s="25"/>
      <c r="T206" s="25"/>
      <c r="U206" s="25"/>
      <c r="V206" s="25"/>
      <c r="W206" s="25"/>
      <c r="X206" s="25"/>
      <c r="Y206" s="25"/>
      <c r="Z206" s="25"/>
      <c r="AA206" s="25"/>
      <c r="AB206" s="25"/>
      <c r="AC206" s="25"/>
      <c r="AD206" s="23"/>
      <c r="AE206" s="9"/>
    </row>
    <row r="207" spans="1:31" s="6" customFormat="1" x14ac:dyDescent="0.25">
      <c r="A207" s="23"/>
      <c r="C207" s="23"/>
      <c r="D207" s="23"/>
      <c r="E207" s="23"/>
      <c r="F207" s="23"/>
      <c r="G207" s="23"/>
      <c r="H207" s="24"/>
      <c r="I207" s="24"/>
      <c r="J207" s="24"/>
      <c r="K207" s="25"/>
      <c r="L207" s="24"/>
      <c r="M207" s="24"/>
      <c r="N207" s="25"/>
      <c r="O207" s="25"/>
      <c r="P207" s="25"/>
      <c r="Q207" s="25"/>
      <c r="R207" s="25"/>
      <c r="S207" s="25"/>
      <c r="T207" s="25"/>
      <c r="U207" s="25"/>
      <c r="V207" s="25"/>
      <c r="W207" s="25"/>
      <c r="X207" s="25"/>
      <c r="Y207" s="25"/>
      <c r="Z207" s="25"/>
      <c r="AA207" s="25"/>
      <c r="AB207" s="25"/>
      <c r="AC207" s="25"/>
      <c r="AD207" s="23"/>
      <c r="AE207" s="9"/>
    </row>
    <row r="208" spans="1:31" s="6" customFormat="1" x14ac:dyDescent="0.25">
      <c r="A208" s="23"/>
      <c r="C208" s="23"/>
      <c r="D208" s="23"/>
      <c r="E208" s="23"/>
      <c r="F208" s="23"/>
      <c r="G208" s="23"/>
      <c r="H208" s="24"/>
      <c r="I208" s="24"/>
      <c r="J208" s="24"/>
      <c r="K208" s="25"/>
      <c r="L208" s="24"/>
      <c r="M208" s="24"/>
      <c r="N208" s="25"/>
      <c r="O208" s="25"/>
      <c r="P208" s="25"/>
      <c r="Q208" s="25"/>
      <c r="R208" s="25"/>
      <c r="S208" s="25"/>
      <c r="T208" s="25"/>
      <c r="U208" s="25"/>
      <c r="V208" s="25"/>
      <c r="W208" s="25"/>
      <c r="X208" s="25"/>
      <c r="Y208" s="25"/>
      <c r="Z208" s="25"/>
      <c r="AA208" s="25"/>
      <c r="AB208" s="25"/>
      <c r="AC208" s="25"/>
      <c r="AD208" s="23"/>
      <c r="AE208" s="9"/>
    </row>
    <row r="209" spans="1:31" s="6" customFormat="1" x14ac:dyDescent="0.25">
      <c r="A209" s="23"/>
      <c r="C209" s="23"/>
      <c r="D209" s="23"/>
      <c r="E209" s="23"/>
      <c r="F209" s="23"/>
      <c r="G209" s="23"/>
      <c r="H209" s="24"/>
      <c r="I209" s="24"/>
      <c r="J209" s="24"/>
      <c r="K209" s="25"/>
      <c r="L209" s="24"/>
      <c r="M209" s="24"/>
      <c r="N209" s="25"/>
      <c r="O209" s="25"/>
      <c r="P209" s="25"/>
      <c r="Q209" s="25"/>
      <c r="R209" s="25"/>
      <c r="S209" s="25"/>
      <c r="T209" s="25"/>
      <c r="U209" s="25"/>
      <c r="V209" s="25"/>
      <c r="W209" s="25"/>
      <c r="X209" s="25"/>
      <c r="Y209" s="25"/>
      <c r="Z209" s="25"/>
      <c r="AA209" s="25"/>
      <c r="AB209" s="25"/>
      <c r="AC209" s="25"/>
      <c r="AD209" s="23"/>
      <c r="AE209" s="9"/>
    </row>
    <row r="210" spans="1:31" s="6" customFormat="1" x14ac:dyDescent="0.25">
      <c r="A210" s="23"/>
      <c r="C210" s="23"/>
      <c r="D210" s="23"/>
      <c r="E210" s="23"/>
      <c r="F210" s="23"/>
      <c r="G210" s="23"/>
      <c r="H210" s="24"/>
      <c r="I210" s="24"/>
      <c r="J210" s="24"/>
      <c r="K210" s="25"/>
      <c r="L210" s="24"/>
      <c r="M210" s="24"/>
      <c r="N210" s="25"/>
      <c r="O210" s="25"/>
      <c r="P210" s="25"/>
      <c r="Q210" s="25"/>
      <c r="R210" s="25"/>
      <c r="S210" s="25"/>
      <c r="T210" s="25"/>
      <c r="U210" s="25"/>
      <c r="V210" s="25"/>
      <c r="W210" s="25"/>
      <c r="X210" s="25"/>
      <c r="Y210" s="25"/>
      <c r="Z210" s="25"/>
      <c r="AA210" s="25"/>
      <c r="AB210" s="25"/>
      <c r="AC210" s="25"/>
      <c r="AD210" s="23"/>
      <c r="AE210" s="9"/>
    </row>
    <row r="211" spans="1:31" s="6" customFormat="1" x14ac:dyDescent="0.25">
      <c r="A211" s="23"/>
      <c r="C211" s="23"/>
      <c r="D211" s="23"/>
      <c r="E211" s="23"/>
      <c r="F211" s="23"/>
      <c r="G211" s="23"/>
      <c r="H211" s="24"/>
      <c r="I211" s="24"/>
      <c r="J211" s="24"/>
      <c r="K211" s="25"/>
      <c r="L211" s="24"/>
      <c r="M211" s="24"/>
      <c r="N211" s="25"/>
      <c r="O211" s="25"/>
      <c r="P211" s="25"/>
      <c r="Q211" s="25"/>
      <c r="R211" s="25"/>
      <c r="S211" s="25"/>
      <c r="T211" s="25"/>
      <c r="U211" s="25"/>
      <c r="V211" s="25"/>
      <c r="W211" s="25"/>
      <c r="X211" s="25"/>
      <c r="Y211" s="25"/>
      <c r="Z211" s="25"/>
      <c r="AA211" s="25"/>
      <c r="AB211" s="25"/>
      <c r="AC211" s="25"/>
      <c r="AD211" s="23"/>
      <c r="AE211" s="9"/>
    </row>
    <row r="212" spans="1:31" x14ac:dyDescent="0.25">
      <c r="AE212" s="23"/>
    </row>
    <row r="213" spans="1:31" x14ac:dyDescent="0.25">
      <c r="AE213" s="23"/>
    </row>
    <row r="218" spans="1:31" s="23" customFormat="1" x14ac:dyDescent="0.25">
      <c r="B218" s="6"/>
      <c r="H218" s="24"/>
      <c r="I218" s="24"/>
      <c r="J218" s="24"/>
      <c r="K218" s="25"/>
      <c r="L218" s="24"/>
      <c r="M218" s="24"/>
      <c r="N218" s="25"/>
      <c r="O218" s="25"/>
      <c r="P218" s="25"/>
      <c r="Q218" s="25"/>
      <c r="R218" s="25"/>
      <c r="S218" s="25"/>
      <c r="T218" s="25"/>
      <c r="U218" s="25"/>
      <c r="V218" s="25"/>
      <c r="W218" s="25"/>
      <c r="X218" s="25"/>
      <c r="Y218" s="25"/>
      <c r="Z218" s="25"/>
      <c r="AA218" s="25"/>
      <c r="AB218" s="25"/>
      <c r="AC218" s="25"/>
      <c r="AE218" s="9"/>
    </row>
    <row r="219" spans="1:31" s="23" customFormat="1" x14ac:dyDescent="0.25">
      <c r="B219" s="6"/>
      <c r="H219" s="24"/>
      <c r="I219" s="24"/>
      <c r="J219" s="24"/>
      <c r="K219" s="25"/>
      <c r="L219" s="24"/>
      <c r="M219" s="24"/>
      <c r="N219" s="25"/>
      <c r="O219" s="25"/>
      <c r="P219" s="25"/>
      <c r="Q219" s="25"/>
      <c r="R219" s="25"/>
      <c r="S219" s="25"/>
      <c r="T219" s="25"/>
      <c r="U219" s="25"/>
      <c r="V219" s="25"/>
      <c r="W219" s="25"/>
      <c r="X219" s="25"/>
      <c r="Y219" s="25"/>
      <c r="Z219" s="25"/>
      <c r="AA219" s="25"/>
      <c r="AB219" s="25"/>
      <c r="AC219" s="25"/>
      <c r="AE219" s="9"/>
    </row>
  </sheetData>
  <mergeCells count="102">
    <mergeCell ref="C124:F124"/>
    <mergeCell ref="C125:F125"/>
    <mergeCell ref="C126:F126"/>
    <mergeCell ref="M125:O125"/>
    <mergeCell ref="P125:AA125"/>
    <mergeCell ref="M126:O126"/>
    <mergeCell ref="P126:AA126"/>
    <mergeCell ref="M144:O144"/>
    <mergeCell ref="P144:AA144"/>
    <mergeCell ref="M136:O136"/>
    <mergeCell ref="P136:AA136"/>
    <mergeCell ref="M132:O132"/>
    <mergeCell ref="P132:AA132"/>
    <mergeCell ref="M133:O133"/>
    <mergeCell ref="P133:AA133"/>
    <mergeCell ref="M129:O129"/>
    <mergeCell ref="P129:AA129"/>
    <mergeCell ref="M134:O134"/>
    <mergeCell ref="P134:AA134"/>
    <mergeCell ref="M135:O135"/>
    <mergeCell ref="P135:AA135"/>
    <mergeCell ref="B129:C129"/>
    <mergeCell ref="M130:O130"/>
    <mergeCell ref="M128:O128"/>
    <mergeCell ref="P122:AA122"/>
    <mergeCell ref="P123:AA123"/>
    <mergeCell ref="P124:AA124"/>
    <mergeCell ref="M145:O145"/>
    <mergeCell ref="P145:AA145"/>
    <mergeCell ref="M141:N142"/>
    <mergeCell ref="P141:AA141"/>
    <mergeCell ref="P142:AA142"/>
    <mergeCell ref="M143:O143"/>
    <mergeCell ref="P143:AA143"/>
    <mergeCell ref="M137:O137"/>
    <mergeCell ref="P137:AA137"/>
    <mergeCell ref="M138:O138"/>
    <mergeCell ref="P138:AA138"/>
    <mergeCell ref="M139:N140"/>
    <mergeCell ref="P139:AA139"/>
    <mergeCell ref="C121:F121"/>
    <mergeCell ref="C122:F122"/>
    <mergeCell ref="C123:F123"/>
    <mergeCell ref="P130:AA130"/>
    <mergeCell ref="M131:O131"/>
    <mergeCell ref="P131:AA131"/>
    <mergeCell ref="M127:O127"/>
    <mergeCell ref="P127:AA127"/>
    <mergeCell ref="B95:C95"/>
    <mergeCell ref="B100:C100"/>
    <mergeCell ref="B111:C111"/>
    <mergeCell ref="A117:C117"/>
    <mergeCell ref="B119:F119"/>
    <mergeCell ref="L119:AA119"/>
    <mergeCell ref="M120:O120"/>
    <mergeCell ref="P120:AA120"/>
    <mergeCell ref="P121:AA121"/>
    <mergeCell ref="C120:F120"/>
    <mergeCell ref="P128:AA128"/>
    <mergeCell ref="M121:M124"/>
    <mergeCell ref="N121:O121"/>
    <mergeCell ref="N122:O122"/>
    <mergeCell ref="N123:O123"/>
    <mergeCell ref="N124:O124"/>
    <mergeCell ref="A1:AC1"/>
    <mergeCell ref="B3:C3"/>
    <mergeCell ref="N4:N5"/>
    <mergeCell ref="O4:O5"/>
    <mergeCell ref="U4:U5"/>
    <mergeCell ref="AA4:AA5"/>
    <mergeCell ref="AB4:AB5"/>
    <mergeCell ref="S4:S5"/>
    <mergeCell ref="R4:R5"/>
    <mergeCell ref="Q4:Q5"/>
    <mergeCell ref="Z4:Z5"/>
    <mergeCell ref="V4:W4"/>
    <mergeCell ref="X4:Y4"/>
    <mergeCell ref="B2:C2"/>
    <mergeCell ref="T4:T5"/>
    <mergeCell ref="H3:N3"/>
    <mergeCell ref="B4:B5"/>
    <mergeCell ref="C4:C5"/>
    <mergeCell ref="B114:C114"/>
    <mergeCell ref="H4:H5"/>
    <mergeCell ref="O3:AA3"/>
    <mergeCell ref="M4:M5"/>
    <mergeCell ref="P4:P5"/>
    <mergeCell ref="K4:K5"/>
    <mergeCell ref="L4:L5"/>
    <mergeCell ref="D3:G3"/>
    <mergeCell ref="D4:D5"/>
    <mergeCell ref="E4:E5"/>
    <mergeCell ref="F4:F5"/>
    <mergeCell ref="G4:G5"/>
    <mergeCell ref="I4:I5"/>
    <mergeCell ref="J4:J5"/>
    <mergeCell ref="B28:C28"/>
    <mergeCell ref="B47:C47"/>
    <mergeCell ref="B70:C70"/>
    <mergeCell ref="B85:C85"/>
    <mergeCell ref="B92:C92"/>
    <mergeCell ref="B6:C6"/>
  </mergeCells>
  <conditionalFormatting sqref="S48 M48">
    <cfRule type="cellIs" dxfId="4" priority="2" operator="greaterThan">
      <formula>0.1</formula>
    </cfRule>
  </conditionalFormatting>
  <conditionalFormatting sqref="M7:M27 S7:S27 M29:M46 S29:S46 M48:M69 S48:S69 M71:M84 S71:S84 M86:M91 S86:S91 M93:M94 S93:S94 M96:M99 S96:S99 M101:M110 S101:S110 M112:M113 S112:S113">
    <cfRule type="cellIs" dxfId="3" priority="5" operator="greaterThan">
      <formula>0.1</formula>
    </cfRule>
  </conditionalFormatting>
  <conditionalFormatting sqref="S49 M49">
    <cfRule type="cellIs" dxfId="2" priority="4" operator="greaterThan">
      <formula>0.1</formula>
    </cfRule>
  </conditionalFormatting>
  <conditionalFormatting sqref="S43:S46 M43:M46">
    <cfRule type="cellIs" dxfId="1" priority="3" operator="greaterThan">
      <formula>0.1</formula>
    </cfRule>
  </conditionalFormatting>
  <conditionalFormatting sqref="M115:M116 S115:S116">
    <cfRule type="cellIs" dxfId="0" priority="1" operator="greaterThan">
      <formula>0.1</formula>
    </cfRule>
  </conditionalFormatting>
  <printOptions horizontalCentered="1" gridLines="1"/>
  <pageMargins left="0" right="0" top="0" bottom="0" header="0.5" footer="0.5"/>
  <pageSetup paperSize="17" scale="44" fitToHeight="0" orientation="landscape" r:id="rId1"/>
  <rowBreaks count="1" manualBreakCount="1">
    <brk id="94" max="28" man="1"/>
  </rowBreaks>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Open_Ensuite_Cred_Form">
                <anchor moveWithCells="1" sizeWithCells="1">
                  <from>
                    <xdr:col>0</xdr:col>
                    <xdr:colOff>47625</xdr:colOff>
                    <xdr:row>4</xdr:row>
                    <xdr:rowOff>9525</xdr:rowOff>
                  </from>
                  <to>
                    <xdr:col>0</xdr:col>
                    <xdr:colOff>390525</xdr:colOff>
                    <xdr:row>5</xdr:row>
                    <xdr:rowOff>0</xdr:rowOff>
                  </to>
                </anchor>
              </controlPr>
            </control>
          </mc:Choice>
        </mc:AlternateContent>
        <mc:AlternateContent xmlns:mc="http://schemas.openxmlformats.org/markup-compatibility/2006">
          <mc:Choice Requires="x14">
            <control shapeId="5122" r:id="rId5" name="Button 2">
              <controlPr defaultSize="0" print="0" autoFill="0" autoPict="0" macro="[0]!Open_Ensuite_Cred_Form">
                <anchor moveWithCells="1" sizeWithCells="1">
                  <from>
                    <xdr:col>0</xdr:col>
                    <xdr:colOff>47625</xdr:colOff>
                    <xdr:row>4</xdr:row>
                    <xdr:rowOff>9525</xdr:rowOff>
                  </from>
                  <to>
                    <xdr:col>0</xdr:col>
                    <xdr:colOff>390525</xdr:colOff>
                    <xdr:row>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212"/>
  <sheetViews>
    <sheetView topLeftCell="R70" workbookViewId="0">
      <selection activeCell="J3" sqref="J3:AC114"/>
    </sheetView>
  </sheetViews>
  <sheetFormatPr defaultRowHeight="15" x14ac:dyDescent="0.25"/>
  <cols>
    <col min="1" max="1" width="26.7109375" style="6" bestFit="1" customWidth="1"/>
    <col min="2" max="2" width="35.140625" style="6" bestFit="1" customWidth="1"/>
    <col min="3" max="3" width="19.28515625" style="6" customWidth="1"/>
    <col min="4" max="4" width="19.85546875" style="6" customWidth="1"/>
    <col min="5" max="5" width="27.42578125" style="6" customWidth="1"/>
    <col min="6" max="6" width="28" style="6" customWidth="1"/>
    <col min="7" max="7" width="9.140625" style="6"/>
    <col min="8" max="8" width="26.7109375" bestFit="1" customWidth="1"/>
    <col min="9" max="9" width="35.42578125" bestFit="1" customWidth="1"/>
    <col min="10" max="10" width="23.28515625" style="56" customWidth="1"/>
    <col min="11" max="11" width="24.7109375" style="5" customWidth="1"/>
    <col min="12" max="12" width="28.28515625" style="7" customWidth="1"/>
    <col min="13" max="13" width="35.42578125" style="5" customWidth="1"/>
    <col min="14" max="14" width="14" style="5" customWidth="1"/>
    <col min="15" max="15" width="25.140625" style="5" customWidth="1"/>
    <col min="16" max="16" width="31.42578125" style="5" customWidth="1"/>
    <col min="17" max="17" width="19.140625" style="5" customWidth="1"/>
    <col min="18" max="18" width="19.140625" style="5" bestFit="1" customWidth="1"/>
    <col min="19" max="20" width="19.140625" style="5" customWidth="1"/>
    <col min="21" max="21" width="28.5703125" style="5" bestFit="1" customWidth="1"/>
    <col min="22" max="22" width="19.7109375" style="5" customWidth="1"/>
    <col min="23" max="24" width="14" style="5" customWidth="1"/>
    <col min="25" max="27" width="14" customWidth="1"/>
    <col min="28" max="28" width="13.85546875" customWidth="1"/>
    <col min="29" max="29" width="33" bestFit="1" customWidth="1"/>
    <col min="30" max="35" width="12" bestFit="1" customWidth="1"/>
    <col min="36" max="36" width="11" bestFit="1" customWidth="1"/>
    <col min="37" max="37" width="12" bestFit="1" customWidth="1"/>
    <col min="38" max="38" width="10" bestFit="1" customWidth="1"/>
    <col min="39" max="44" width="12" bestFit="1" customWidth="1"/>
    <col min="45" max="45" width="10" bestFit="1" customWidth="1"/>
    <col min="46" max="55" width="12" bestFit="1" customWidth="1"/>
    <col min="56" max="56" width="11" bestFit="1" customWidth="1"/>
    <col min="57" max="57" width="12" bestFit="1" customWidth="1"/>
    <col min="58" max="58" width="11" bestFit="1" customWidth="1"/>
    <col min="59" max="60" width="12" bestFit="1" customWidth="1"/>
    <col min="61" max="61" width="11" bestFit="1" customWidth="1"/>
    <col min="62" max="77" width="12" bestFit="1" customWidth="1"/>
    <col min="78" max="79" width="11" bestFit="1" customWidth="1"/>
    <col min="80" max="85" width="12" bestFit="1" customWidth="1"/>
    <col min="86" max="86" width="11" bestFit="1" customWidth="1"/>
    <col min="87" max="92" width="12" bestFit="1" customWidth="1"/>
    <col min="93" max="93" width="11" bestFit="1" customWidth="1"/>
    <col min="94" max="97" width="12" bestFit="1" customWidth="1"/>
    <col min="98" max="98" width="11.28515625" bestFit="1" customWidth="1"/>
  </cols>
  <sheetData>
    <row r="1" spans="1:29" x14ac:dyDescent="0.25">
      <c r="C1"/>
    </row>
    <row r="2" spans="1:29" x14ac:dyDescent="0.25">
      <c r="A2" s="2" t="s">
        <v>7</v>
      </c>
      <c r="B2" s="2" t="s">
        <v>1</v>
      </c>
      <c r="C2" s="6" t="s">
        <v>356</v>
      </c>
      <c r="D2" s="6" t="s">
        <v>357</v>
      </c>
      <c r="E2" s="6" t="s">
        <v>358</v>
      </c>
      <c r="F2" s="6" t="s">
        <v>359</v>
      </c>
      <c r="H2" s="2" t="s">
        <v>7</v>
      </c>
      <c r="I2" s="2" t="s">
        <v>1</v>
      </c>
      <c r="J2" s="6" t="s">
        <v>379</v>
      </c>
      <c r="K2" s="6" t="s">
        <v>380</v>
      </c>
      <c r="L2" s="7" t="s">
        <v>16</v>
      </c>
      <c r="M2" s="7" t="s">
        <v>14</v>
      </c>
      <c r="N2" s="5" t="s">
        <v>15</v>
      </c>
      <c r="O2" s="6" t="s">
        <v>129</v>
      </c>
      <c r="P2" s="5" t="s">
        <v>17</v>
      </c>
      <c r="Q2" s="5" t="s">
        <v>83</v>
      </c>
      <c r="R2" s="5" t="s">
        <v>84</v>
      </c>
      <c r="S2" s="5" t="s">
        <v>85</v>
      </c>
      <c r="T2" s="5" t="s">
        <v>86</v>
      </c>
      <c r="U2" s="6" t="s">
        <v>130</v>
      </c>
      <c r="V2" s="5" t="s">
        <v>100</v>
      </c>
      <c r="W2" s="5" t="s">
        <v>90</v>
      </c>
      <c r="X2" s="5" t="s">
        <v>91</v>
      </c>
      <c r="Y2" s="5" t="s">
        <v>108</v>
      </c>
      <c r="Z2" s="5" t="s">
        <v>92</v>
      </c>
      <c r="AA2" s="6" t="s">
        <v>389</v>
      </c>
      <c r="AB2" s="6" t="s">
        <v>390</v>
      </c>
      <c r="AC2" s="5" t="s">
        <v>18</v>
      </c>
    </row>
    <row r="3" spans="1:29" x14ac:dyDescent="0.25">
      <c r="A3" s="3" t="s">
        <v>132</v>
      </c>
      <c r="B3"/>
      <c r="C3" s="7">
        <v>-212.07350000000002</v>
      </c>
      <c r="D3" s="5">
        <v>-5017.1789999999992</v>
      </c>
      <c r="E3" s="7">
        <v>2636.7498000000001</v>
      </c>
      <c r="F3" s="5">
        <v>85156.565400000007</v>
      </c>
      <c r="H3" s="3" t="s">
        <v>132</v>
      </c>
      <c r="J3" s="95">
        <v>219727.65000270004</v>
      </c>
      <c r="K3" s="95">
        <v>-1242.4722947629998</v>
      </c>
      <c r="L3" s="7">
        <v>217670.189011479</v>
      </c>
      <c r="M3" s="7">
        <v>8248.4889955439994</v>
      </c>
      <c r="N3" s="5">
        <v>-54787.018635444008</v>
      </c>
      <c r="O3" s="74">
        <v>3.7894435765427711E-2</v>
      </c>
      <c r="P3" s="5">
        <v>9330495.5458179414</v>
      </c>
      <c r="Q3" s="5">
        <v>266845.14671939996</v>
      </c>
      <c r="R3" s="5">
        <v>1.8E-3</v>
      </c>
      <c r="S3" s="5">
        <v>105012.66455300001</v>
      </c>
      <c r="T3" s="5">
        <v>123753.6594244</v>
      </c>
      <c r="U3" s="74">
        <v>8.2324114254549344E-2</v>
      </c>
      <c r="V3" s="5">
        <v>-40800.775487692001</v>
      </c>
      <c r="W3" s="5">
        <v>-8279.8426781369999</v>
      </c>
      <c r="X3" s="5">
        <v>11514.933972164001</v>
      </c>
      <c r="Y3" s="5">
        <v>-964.93521015800013</v>
      </c>
      <c r="Z3" s="5">
        <v>0</v>
      </c>
      <c r="AA3" s="95">
        <v>0</v>
      </c>
      <c r="AB3" s="95">
        <v>-221251.93088678399</v>
      </c>
      <c r="AC3" s="5">
        <v>235207.24563462602</v>
      </c>
    </row>
    <row r="4" spans="1:29" x14ac:dyDescent="0.25">
      <c r="A4" s="4">
        <v>1</v>
      </c>
      <c r="B4" s="3" t="s">
        <v>133</v>
      </c>
      <c r="C4" s="7">
        <v>0</v>
      </c>
      <c r="D4" s="95">
        <v>0</v>
      </c>
      <c r="E4" s="95">
        <v>4.87E-2</v>
      </c>
      <c r="F4" s="95">
        <v>-0.59660000000000002</v>
      </c>
      <c r="H4" s="4">
        <v>1</v>
      </c>
      <c r="I4" s="3" t="s">
        <v>133</v>
      </c>
      <c r="J4" s="95">
        <v>2610.240000192</v>
      </c>
      <c r="K4" s="95">
        <v>-101.083190214</v>
      </c>
      <c r="L4" s="7">
        <v>2632.315824969</v>
      </c>
      <c r="M4" s="7">
        <v>169.703048655</v>
      </c>
      <c r="N4" s="5">
        <v>3744.2552009320002</v>
      </c>
      <c r="O4" s="74">
        <v>6.446910626957103E-2</v>
      </c>
      <c r="P4" s="5">
        <v>102862.08202391199</v>
      </c>
      <c r="Q4" s="5">
        <v>0</v>
      </c>
      <c r="R4" s="5">
        <v>0</v>
      </c>
      <c r="S4" s="5">
        <v>0</v>
      </c>
      <c r="T4" s="5">
        <v>0</v>
      </c>
      <c r="U4" s="74">
        <v>0</v>
      </c>
      <c r="V4" s="5">
        <v>0</v>
      </c>
      <c r="W4" s="5">
        <v>9.2741075249999998</v>
      </c>
      <c r="X4" s="5">
        <v>0</v>
      </c>
      <c r="Y4" s="5">
        <v>-9.0265122150000003</v>
      </c>
      <c r="Z4" s="5">
        <v>0</v>
      </c>
      <c r="AA4" s="95">
        <v>0</v>
      </c>
      <c r="AB4" s="95">
        <v>-1568.4857283480001</v>
      </c>
      <c r="AC4" s="5">
        <v>-1573.65053782</v>
      </c>
    </row>
    <row r="5" spans="1:29" x14ac:dyDescent="0.25">
      <c r="A5" s="4">
        <v>2</v>
      </c>
      <c r="B5" s="3" t="s">
        <v>134</v>
      </c>
      <c r="C5" s="7">
        <v>0</v>
      </c>
      <c r="D5" s="95">
        <v>0</v>
      </c>
      <c r="E5" s="95">
        <v>18.046299999999999</v>
      </c>
      <c r="F5" s="95">
        <v>1618.0279</v>
      </c>
      <c r="H5" s="4">
        <v>2</v>
      </c>
      <c r="I5" s="3" t="s">
        <v>134</v>
      </c>
      <c r="J5" s="95">
        <v>3553.7099997119999</v>
      </c>
      <c r="K5" s="95">
        <v>7.8740041959999996</v>
      </c>
      <c r="L5" s="7">
        <v>3591.6288763930002</v>
      </c>
      <c r="M5" s="7">
        <v>128.37710759800001</v>
      </c>
      <c r="N5" s="5">
        <v>604.26839994600005</v>
      </c>
      <c r="O5" s="74">
        <v>3.5743422278898297E-2</v>
      </c>
      <c r="P5" s="5">
        <v>139801.41351126099</v>
      </c>
      <c r="Q5" s="5">
        <v>0</v>
      </c>
      <c r="R5" s="5">
        <v>0</v>
      </c>
      <c r="S5" s="5">
        <v>0</v>
      </c>
      <c r="T5" s="5">
        <v>0</v>
      </c>
      <c r="U5" s="74">
        <v>0</v>
      </c>
      <c r="V5" s="5">
        <v>0</v>
      </c>
      <c r="W5" s="5">
        <v>0.51223239600000003</v>
      </c>
      <c r="X5" s="5">
        <v>0</v>
      </c>
      <c r="Y5" s="5">
        <v>3.467871057</v>
      </c>
      <c r="Z5" s="5">
        <v>0</v>
      </c>
      <c r="AA5" s="95">
        <v>0</v>
      </c>
      <c r="AB5" s="95">
        <v>-2794.9417179359998</v>
      </c>
      <c r="AC5" s="5">
        <v>-2823.4346680190001</v>
      </c>
    </row>
    <row r="6" spans="1:29" x14ac:dyDescent="0.25">
      <c r="A6" s="4">
        <v>3</v>
      </c>
      <c r="B6" s="3" t="s">
        <v>135</v>
      </c>
      <c r="C6" s="7">
        <v>-2.6854</v>
      </c>
      <c r="D6" s="95">
        <v>-72.975300000000004</v>
      </c>
      <c r="E6" s="95">
        <v>-0.97829999999999995</v>
      </c>
      <c r="F6" s="95">
        <v>-361.56209999999999</v>
      </c>
      <c r="H6" s="4">
        <v>3</v>
      </c>
      <c r="I6" s="3" t="s">
        <v>135</v>
      </c>
      <c r="J6" s="95">
        <v>15890.600000484001</v>
      </c>
      <c r="K6" s="95">
        <v>-92.202678675000001</v>
      </c>
      <c r="L6" s="7">
        <v>16006.158980816999</v>
      </c>
      <c r="M6" s="7">
        <v>336.39386880799998</v>
      </c>
      <c r="N6" s="5">
        <v>11243.356050861001</v>
      </c>
      <c r="O6" s="74">
        <v>2.1016526776421504E-2</v>
      </c>
      <c r="P6" s="5">
        <v>687309.89238657698</v>
      </c>
      <c r="Q6" s="5">
        <v>0</v>
      </c>
      <c r="R6" s="5">
        <v>0</v>
      </c>
      <c r="S6" s="5">
        <v>0</v>
      </c>
      <c r="T6" s="5">
        <v>0</v>
      </c>
      <c r="U6" s="74">
        <v>0</v>
      </c>
      <c r="V6" s="5">
        <v>0</v>
      </c>
      <c r="W6" s="5">
        <v>-379.09391417400002</v>
      </c>
      <c r="X6" s="5">
        <v>0</v>
      </c>
      <c r="Y6" s="5">
        <v>-31.849491045000001</v>
      </c>
      <c r="Z6" s="5">
        <v>0</v>
      </c>
      <c r="AA6" s="95">
        <v>0</v>
      </c>
      <c r="AB6" s="95">
        <v>-4859.6009152979996</v>
      </c>
      <c r="AC6" s="5">
        <v>-5279.1615364930003</v>
      </c>
    </row>
    <row r="7" spans="1:29" x14ac:dyDescent="0.25">
      <c r="A7" s="4">
        <v>4</v>
      </c>
      <c r="B7" s="3" t="s">
        <v>136</v>
      </c>
      <c r="C7" s="7">
        <v>0</v>
      </c>
      <c r="D7" s="95">
        <v>0</v>
      </c>
      <c r="E7" s="95">
        <v>-1.29E-2</v>
      </c>
      <c r="F7" s="95">
        <v>-0.43269999999999997</v>
      </c>
      <c r="H7" s="4">
        <v>4</v>
      </c>
      <c r="I7" s="3" t="s">
        <v>136</v>
      </c>
      <c r="J7" s="95">
        <v>190.20000002399999</v>
      </c>
      <c r="K7" s="95">
        <v>-0.17874999799999999</v>
      </c>
      <c r="L7" s="7">
        <v>197.86758541699999</v>
      </c>
      <c r="M7" s="7">
        <v>9.5692430510000008</v>
      </c>
      <c r="N7" s="5">
        <v>187.56308663300001</v>
      </c>
      <c r="O7" s="74">
        <v>4.8361852856460087E-2</v>
      </c>
      <c r="P7" s="5">
        <v>5157.1031509439999</v>
      </c>
      <c r="Q7" s="5">
        <v>0</v>
      </c>
      <c r="R7" s="5">
        <v>0</v>
      </c>
      <c r="S7" s="5">
        <v>0</v>
      </c>
      <c r="T7" s="5">
        <v>0</v>
      </c>
      <c r="U7" s="74">
        <v>0</v>
      </c>
      <c r="V7" s="5">
        <v>0</v>
      </c>
      <c r="W7" s="5">
        <v>0</v>
      </c>
      <c r="X7" s="5">
        <v>0</v>
      </c>
      <c r="Y7" s="5">
        <v>-0.34208871200000002</v>
      </c>
      <c r="Z7" s="5">
        <v>0</v>
      </c>
      <c r="AA7" s="95">
        <v>0</v>
      </c>
      <c r="AB7" s="95">
        <v>0</v>
      </c>
      <c r="AC7" s="5">
        <v>-0.34209301399999997</v>
      </c>
    </row>
    <row r="8" spans="1:29" x14ac:dyDescent="0.25">
      <c r="A8" s="4">
        <v>5</v>
      </c>
      <c r="B8" s="3" t="s">
        <v>137</v>
      </c>
      <c r="C8" s="7">
        <v>0</v>
      </c>
      <c r="D8" s="95">
        <v>0</v>
      </c>
      <c r="E8" s="95">
        <v>156.91079999999999</v>
      </c>
      <c r="F8" s="95">
        <v>4748.9373999999998</v>
      </c>
      <c r="H8" s="4">
        <v>5</v>
      </c>
      <c r="I8" s="3" t="s">
        <v>137</v>
      </c>
      <c r="J8" s="95">
        <v>24373.999999404001</v>
      </c>
      <c r="K8" s="95">
        <v>391.05207705700002</v>
      </c>
      <c r="L8" s="7">
        <v>24871.031245192</v>
      </c>
      <c r="M8" s="7">
        <v>420.12334783900002</v>
      </c>
      <c r="N8" s="5">
        <v>4150.0681106769998</v>
      </c>
      <c r="O8" s="74">
        <v>1.6892075913427076E-2</v>
      </c>
      <c r="P8" s="5">
        <v>973064.17669774604</v>
      </c>
      <c r="Q8" s="5">
        <v>0</v>
      </c>
      <c r="R8" s="5">
        <v>0</v>
      </c>
      <c r="S8" s="5">
        <v>0</v>
      </c>
      <c r="T8" s="5">
        <v>0</v>
      </c>
      <c r="U8" s="74">
        <v>0</v>
      </c>
      <c r="V8" s="5">
        <v>0</v>
      </c>
      <c r="W8" s="5">
        <v>-29.559649391000001</v>
      </c>
      <c r="X8" s="5">
        <v>0</v>
      </c>
      <c r="Y8" s="5">
        <v>-49.392171701999999</v>
      </c>
      <c r="Z8" s="5">
        <v>0</v>
      </c>
      <c r="AA8" s="95">
        <v>0</v>
      </c>
      <c r="AB8" s="95">
        <v>-23126.150142605999</v>
      </c>
      <c r="AC8" s="5">
        <v>-23246.735128845001</v>
      </c>
    </row>
    <row r="9" spans="1:29" x14ac:dyDescent="0.25">
      <c r="A9" s="4">
        <v>6</v>
      </c>
      <c r="B9" s="3" t="s">
        <v>138</v>
      </c>
      <c r="C9" s="7">
        <v>0</v>
      </c>
      <c r="D9" s="95">
        <v>0</v>
      </c>
      <c r="E9" s="95">
        <v>0</v>
      </c>
      <c r="F9" s="95">
        <v>0</v>
      </c>
      <c r="H9" s="4">
        <v>6</v>
      </c>
      <c r="I9" s="3" t="s">
        <v>138</v>
      </c>
      <c r="J9" s="95">
        <v>30613.500000576001</v>
      </c>
      <c r="K9" s="95">
        <v>295.390105753</v>
      </c>
      <c r="L9" s="7">
        <v>30829.606681067999</v>
      </c>
      <c r="M9" s="7">
        <v>410.18517385899997</v>
      </c>
      <c r="N9" s="5">
        <v>-4056.006091145</v>
      </c>
      <c r="O9" s="74">
        <v>1.3304911026026439E-2</v>
      </c>
      <c r="P9" s="5">
        <v>1214202.40925716</v>
      </c>
      <c r="Q9" s="5">
        <v>0</v>
      </c>
      <c r="R9" s="5">
        <v>0</v>
      </c>
      <c r="S9" s="5">
        <v>0</v>
      </c>
      <c r="T9" s="5">
        <v>0</v>
      </c>
      <c r="U9" s="74">
        <v>0</v>
      </c>
      <c r="V9" s="5">
        <v>0</v>
      </c>
      <c r="W9" s="5">
        <v>-29.852937497999999</v>
      </c>
      <c r="X9" s="5">
        <v>0</v>
      </c>
      <c r="Y9" s="5">
        <v>-79.135728455999995</v>
      </c>
      <c r="Z9" s="5">
        <v>0</v>
      </c>
      <c r="AA9" s="95">
        <v>0</v>
      </c>
      <c r="AB9" s="95">
        <v>-28010.721159011999</v>
      </c>
      <c r="AC9" s="5">
        <v>-28195.098967389</v>
      </c>
    </row>
    <row r="10" spans="1:29" x14ac:dyDescent="0.25">
      <c r="A10" s="4">
        <v>7</v>
      </c>
      <c r="B10" s="3" t="s">
        <v>139</v>
      </c>
      <c r="C10" s="7">
        <v>0</v>
      </c>
      <c r="D10" s="95">
        <v>0</v>
      </c>
      <c r="E10" s="95">
        <v>1855.0823</v>
      </c>
      <c r="F10" s="95">
        <v>59681.941299999999</v>
      </c>
      <c r="H10" s="4">
        <v>7</v>
      </c>
      <c r="I10" s="3" t="s">
        <v>139</v>
      </c>
      <c r="J10" s="95">
        <v>18063.499999356001</v>
      </c>
      <c r="K10" s="95">
        <v>1719.2607082479999</v>
      </c>
      <c r="L10" s="7">
        <v>20128.349421908999</v>
      </c>
      <c r="M10" s="7">
        <v>1128.2709475920001</v>
      </c>
      <c r="N10" s="5">
        <v>16843.201433030001</v>
      </c>
      <c r="O10" s="74">
        <v>5.6053823586941359E-2</v>
      </c>
      <c r="P10" s="5">
        <v>729226.19246260298</v>
      </c>
      <c r="Q10" s="5">
        <v>0</v>
      </c>
      <c r="R10" s="5">
        <v>0</v>
      </c>
      <c r="S10" s="5">
        <v>0</v>
      </c>
      <c r="T10" s="5">
        <v>0</v>
      </c>
      <c r="U10" s="74">
        <v>0</v>
      </c>
      <c r="V10" s="5">
        <v>0</v>
      </c>
      <c r="W10" s="5">
        <v>5.8307800170000004</v>
      </c>
      <c r="X10" s="5">
        <v>0</v>
      </c>
      <c r="Y10" s="5">
        <v>-93.455887008999994</v>
      </c>
      <c r="Z10" s="5">
        <v>0</v>
      </c>
      <c r="AA10" s="95">
        <v>0</v>
      </c>
      <c r="AB10" s="95">
        <v>0</v>
      </c>
      <c r="AC10" s="5">
        <v>-224.847193519</v>
      </c>
    </row>
    <row r="11" spans="1:29" x14ac:dyDescent="0.25">
      <c r="A11" s="4">
        <v>8</v>
      </c>
      <c r="B11" s="3" t="s">
        <v>140</v>
      </c>
      <c r="C11" s="7">
        <v>0</v>
      </c>
      <c r="D11" s="95">
        <v>0</v>
      </c>
      <c r="E11" s="95">
        <v>0</v>
      </c>
      <c r="F11" s="95">
        <v>0</v>
      </c>
      <c r="H11" s="4">
        <v>8</v>
      </c>
      <c r="I11" s="3" t="s">
        <v>140</v>
      </c>
      <c r="J11" s="95">
        <v>0</v>
      </c>
      <c r="K11" s="95">
        <v>0</v>
      </c>
      <c r="L11" s="7">
        <v>0</v>
      </c>
      <c r="M11" s="7">
        <v>0</v>
      </c>
      <c r="N11" s="5">
        <v>0</v>
      </c>
      <c r="O11" s="74">
        <v>0</v>
      </c>
      <c r="P11" s="5">
        <v>0</v>
      </c>
      <c r="Q11" s="5">
        <v>0</v>
      </c>
      <c r="R11" s="5">
        <v>0</v>
      </c>
      <c r="S11" s="5">
        <v>0</v>
      </c>
      <c r="T11" s="5">
        <v>0</v>
      </c>
      <c r="U11" s="74">
        <v>0</v>
      </c>
      <c r="V11" s="5">
        <v>0</v>
      </c>
      <c r="W11" s="5">
        <v>0</v>
      </c>
      <c r="X11" s="5">
        <v>0</v>
      </c>
      <c r="Y11" s="5">
        <v>0</v>
      </c>
      <c r="Z11" s="5">
        <v>0</v>
      </c>
      <c r="AA11" s="95">
        <v>0</v>
      </c>
      <c r="AB11" s="95">
        <v>0</v>
      </c>
      <c r="AC11" s="5">
        <v>0</v>
      </c>
    </row>
    <row r="12" spans="1:29" x14ac:dyDescent="0.25">
      <c r="A12" s="4">
        <v>9</v>
      </c>
      <c r="B12" s="3" t="s">
        <v>141</v>
      </c>
      <c r="C12" s="7">
        <v>-18.773599999999998</v>
      </c>
      <c r="D12" s="95">
        <v>-471.75310000000002</v>
      </c>
      <c r="E12" s="95">
        <v>118.96380000000001</v>
      </c>
      <c r="F12" s="95">
        <v>8946.7489000000005</v>
      </c>
      <c r="H12" s="4">
        <v>9</v>
      </c>
      <c r="I12" s="3" t="s">
        <v>141</v>
      </c>
      <c r="J12" s="95">
        <v>32096.479998671999</v>
      </c>
      <c r="K12" s="95">
        <v>-1219.8298874049999</v>
      </c>
      <c r="L12" s="7">
        <v>31075.784202158</v>
      </c>
      <c r="M12" s="7">
        <v>1549.4590749250001</v>
      </c>
      <c r="N12" s="5">
        <v>-4349.7672731310004</v>
      </c>
      <c r="O12" s="74">
        <v>4.9860658860457679E-2</v>
      </c>
      <c r="P12" s="5">
        <v>1438489.9613387799</v>
      </c>
      <c r="Q12" s="5">
        <v>62519.285462300002</v>
      </c>
      <c r="R12" s="5">
        <v>0</v>
      </c>
      <c r="S12" s="5">
        <v>32154.693981125001</v>
      </c>
      <c r="T12" s="5">
        <v>45425.971127750003</v>
      </c>
      <c r="U12" s="74">
        <v>3.6908078010556233E-2</v>
      </c>
      <c r="V12" s="5">
        <v>-5170.8199049559998</v>
      </c>
      <c r="W12" s="5">
        <v>-2007.86935068</v>
      </c>
      <c r="X12" s="5">
        <v>3922.7669222330001</v>
      </c>
      <c r="Y12" s="5">
        <v>-83.144512121999995</v>
      </c>
      <c r="Z12" s="5">
        <v>0</v>
      </c>
      <c r="AA12" s="95">
        <v>0</v>
      </c>
      <c r="AB12" s="95">
        <v>0</v>
      </c>
      <c r="AC12" s="5">
        <v>136740.309482813</v>
      </c>
    </row>
    <row r="13" spans="1:29" x14ac:dyDescent="0.25">
      <c r="A13" s="4">
        <v>10</v>
      </c>
      <c r="B13" s="3" t="s">
        <v>142</v>
      </c>
      <c r="C13" s="7">
        <v>-7.6531000000000002</v>
      </c>
      <c r="D13" s="95">
        <v>-212.11</v>
      </c>
      <c r="E13" s="95">
        <v>237.07640000000001</v>
      </c>
      <c r="F13" s="95">
        <v>5822.3937999999998</v>
      </c>
      <c r="H13" s="4">
        <v>10</v>
      </c>
      <c r="I13" s="3" t="s">
        <v>142</v>
      </c>
      <c r="J13" s="95">
        <v>23447.099999064001</v>
      </c>
      <c r="K13" s="95">
        <v>-334.70932153199999</v>
      </c>
      <c r="L13" s="7">
        <v>22758.702711827998</v>
      </c>
      <c r="M13" s="7">
        <v>1317.686021403</v>
      </c>
      <c r="N13" s="5">
        <v>-27805.614199349999</v>
      </c>
      <c r="O13" s="74">
        <v>5.7898116517782941E-2</v>
      </c>
      <c r="P13" s="5">
        <v>1198210.1813310599</v>
      </c>
      <c r="Q13" s="5">
        <v>70355.022043899997</v>
      </c>
      <c r="R13" s="5">
        <v>0</v>
      </c>
      <c r="S13" s="5">
        <v>5672.6788108749997</v>
      </c>
      <c r="T13" s="5">
        <v>21827.287921300001</v>
      </c>
      <c r="U13" s="74">
        <v>1.6196282036920494E-2</v>
      </c>
      <c r="V13" s="5">
        <v>-1584.886996937</v>
      </c>
      <c r="W13" s="5">
        <v>-2867.4474403230001</v>
      </c>
      <c r="X13" s="5">
        <v>2579.3942577749999</v>
      </c>
      <c r="Y13" s="5">
        <v>-120.792389516</v>
      </c>
      <c r="Z13" s="5">
        <v>0</v>
      </c>
      <c r="AA13" s="95">
        <v>0</v>
      </c>
      <c r="AB13" s="95">
        <v>5476.178615238</v>
      </c>
      <c r="AC13" s="5">
        <v>101073.50128411299</v>
      </c>
    </row>
    <row r="14" spans="1:29" x14ac:dyDescent="0.25">
      <c r="A14" s="4">
        <v>11</v>
      </c>
      <c r="B14" s="3" t="s">
        <v>143</v>
      </c>
      <c r="C14" s="7">
        <v>0</v>
      </c>
      <c r="D14" s="95">
        <v>0</v>
      </c>
      <c r="E14" s="95">
        <v>0</v>
      </c>
      <c r="F14" s="95">
        <v>0</v>
      </c>
      <c r="H14" s="4">
        <v>11</v>
      </c>
      <c r="I14" s="3" t="s">
        <v>143</v>
      </c>
      <c r="J14" s="95">
        <v>0</v>
      </c>
      <c r="K14" s="95">
        <v>0</v>
      </c>
      <c r="L14" s="7">
        <v>0</v>
      </c>
      <c r="M14" s="7">
        <v>0</v>
      </c>
      <c r="N14" s="5">
        <v>0</v>
      </c>
      <c r="O14" s="74">
        <v>0</v>
      </c>
      <c r="P14" s="5">
        <v>0</v>
      </c>
      <c r="Q14" s="5">
        <v>0</v>
      </c>
      <c r="R14" s="5">
        <v>0</v>
      </c>
      <c r="S14" s="5">
        <v>0</v>
      </c>
      <c r="T14" s="5">
        <v>0</v>
      </c>
      <c r="U14" s="74">
        <v>0</v>
      </c>
      <c r="V14" s="5">
        <v>0</v>
      </c>
      <c r="W14" s="5">
        <v>0</v>
      </c>
      <c r="X14" s="5">
        <v>0</v>
      </c>
      <c r="Y14" s="5">
        <v>0</v>
      </c>
      <c r="Z14" s="5">
        <v>0</v>
      </c>
      <c r="AA14" s="95">
        <v>0</v>
      </c>
      <c r="AB14" s="95">
        <v>-71555.400571685997</v>
      </c>
      <c r="AC14" s="5">
        <v>-71555.400571685997</v>
      </c>
    </row>
    <row r="15" spans="1:29" x14ac:dyDescent="0.25">
      <c r="A15" s="4">
        <v>12</v>
      </c>
      <c r="B15" s="3" t="s">
        <v>144</v>
      </c>
      <c r="C15" s="7">
        <v>0</v>
      </c>
      <c r="D15" s="95">
        <v>0</v>
      </c>
      <c r="E15" s="95">
        <v>0</v>
      </c>
      <c r="F15" s="95">
        <v>0</v>
      </c>
      <c r="H15" s="4">
        <v>12</v>
      </c>
      <c r="I15" s="3" t="s">
        <v>144</v>
      </c>
      <c r="J15" s="95">
        <v>23735.999999807998</v>
      </c>
      <c r="K15" s="95">
        <v>-1.5518345710000001</v>
      </c>
      <c r="L15" s="7">
        <v>23423.198982513</v>
      </c>
      <c r="M15" s="7">
        <v>395.45265642099997</v>
      </c>
      <c r="N15" s="5">
        <v>-13128.969932575999</v>
      </c>
      <c r="O15" s="74">
        <v>1.6882948256394529E-2</v>
      </c>
      <c r="P15" s="5">
        <v>915418.09390440595</v>
      </c>
      <c r="Q15" s="5">
        <v>0</v>
      </c>
      <c r="R15" s="5">
        <v>0</v>
      </c>
      <c r="S15" s="5">
        <v>0</v>
      </c>
      <c r="T15" s="5">
        <v>0</v>
      </c>
      <c r="U15" s="74">
        <v>0</v>
      </c>
      <c r="V15" s="5">
        <v>0</v>
      </c>
      <c r="W15" s="5">
        <v>-0.38957750099999999</v>
      </c>
      <c r="X15" s="5">
        <v>0</v>
      </c>
      <c r="Y15" s="5">
        <v>-109.69119669299999</v>
      </c>
      <c r="Z15" s="5">
        <v>0</v>
      </c>
      <c r="AA15" s="95">
        <v>0</v>
      </c>
      <c r="AB15" s="95">
        <v>-20385.482839685999</v>
      </c>
      <c r="AC15" s="5">
        <v>-20608.647872927999</v>
      </c>
    </row>
    <row r="16" spans="1:29" x14ac:dyDescent="0.25">
      <c r="A16" s="4">
        <v>13</v>
      </c>
      <c r="B16" s="3" t="s">
        <v>145</v>
      </c>
      <c r="C16" s="7">
        <v>0</v>
      </c>
      <c r="D16" s="95">
        <v>0</v>
      </c>
      <c r="E16" s="95">
        <v>0</v>
      </c>
      <c r="F16" s="95">
        <v>0</v>
      </c>
      <c r="H16" s="4">
        <v>13</v>
      </c>
      <c r="I16" s="3" t="s">
        <v>145</v>
      </c>
      <c r="J16" s="95">
        <v>19054.380000636</v>
      </c>
      <c r="K16" s="95">
        <v>-1068.5186029040001</v>
      </c>
      <c r="L16" s="7">
        <v>17913.378456143</v>
      </c>
      <c r="M16" s="7">
        <v>319.53191419500001</v>
      </c>
      <c r="N16" s="5">
        <v>-2865.3356042250002</v>
      </c>
      <c r="O16" s="74">
        <v>1.7837613098908404E-2</v>
      </c>
      <c r="P16" s="5">
        <v>831906.87958038202</v>
      </c>
      <c r="Q16" s="5">
        <v>49293.050858199997</v>
      </c>
      <c r="R16" s="5">
        <v>1.8E-3</v>
      </c>
      <c r="S16" s="5">
        <v>38165.212474325002</v>
      </c>
      <c r="T16" s="5">
        <v>36893.652032575003</v>
      </c>
      <c r="U16" s="74">
        <v>2.4453413979100468E-2</v>
      </c>
      <c r="V16" s="5">
        <v>-3040.8289095330001</v>
      </c>
      <c r="W16" s="5">
        <v>-1026.04838215</v>
      </c>
      <c r="X16" s="5">
        <v>2016.100779051</v>
      </c>
      <c r="Y16" s="5">
        <v>-66.449940615000003</v>
      </c>
      <c r="Z16" s="5">
        <v>0</v>
      </c>
      <c r="AA16" s="95">
        <v>0</v>
      </c>
      <c r="AB16" s="95">
        <v>-37974.906796128002</v>
      </c>
      <c r="AC16" s="5">
        <v>84559.894477526002</v>
      </c>
    </row>
    <row r="17" spans="1:29" x14ac:dyDescent="0.25">
      <c r="A17" s="4">
        <v>14</v>
      </c>
      <c r="B17" s="3" t="s">
        <v>146</v>
      </c>
      <c r="C17" s="7">
        <v>-182.76650000000001</v>
      </c>
      <c r="D17" s="95">
        <v>-4254.6274999999996</v>
      </c>
      <c r="E17" s="95">
        <v>193.28489999999999</v>
      </c>
      <c r="F17" s="95">
        <v>2504.8449000000001</v>
      </c>
      <c r="H17" s="4">
        <v>14</v>
      </c>
      <c r="I17" s="3" t="s">
        <v>146</v>
      </c>
      <c r="J17" s="95">
        <v>13766.77000122</v>
      </c>
      <c r="K17" s="95">
        <v>-705.03464897499998</v>
      </c>
      <c r="L17" s="7">
        <v>12587.523351881</v>
      </c>
      <c r="M17" s="7">
        <v>819.56002913999998</v>
      </c>
      <c r="N17" s="5">
        <v>-21237.177334395001</v>
      </c>
      <c r="O17" s="74">
        <v>6.5108918270052704E-2</v>
      </c>
      <c r="P17" s="5">
        <v>641269.94649308198</v>
      </c>
      <c r="Q17" s="5">
        <v>84677.788354999997</v>
      </c>
      <c r="R17" s="5">
        <v>0</v>
      </c>
      <c r="S17" s="5">
        <v>29020.079286675002</v>
      </c>
      <c r="T17" s="5">
        <v>19606.748342775001</v>
      </c>
      <c r="U17" s="74">
        <v>0.23258189108682212</v>
      </c>
      <c r="V17" s="5">
        <v>-31004.239676265999</v>
      </c>
      <c r="W17" s="5">
        <v>-1977.6279289839999</v>
      </c>
      <c r="X17" s="5">
        <v>2996.6720131050001</v>
      </c>
      <c r="Y17" s="5">
        <v>-117.06643365399999</v>
      </c>
      <c r="Z17" s="5">
        <v>0</v>
      </c>
      <c r="AA17" s="95">
        <v>0</v>
      </c>
      <c r="AB17" s="95">
        <v>-35412.621767147997</v>
      </c>
      <c r="AC17" s="5">
        <v>67886.474066726005</v>
      </c>
    </row>
    <row r="18" spans="1:29" x14ac:dyDescent="0.25">
      <c r="A18" s="4">
        <v>15</v>
      </c>
      <c r="B18" s="3" t="s">
        <v>147</v>
      </c>
      <c r="C18" s="7">
        <v>0</v>
      </c>
      <c r="D18" s="95">
        <v>0</v>
      </c>
      <c r="E18" s="95">
        <v>0</v>
      </c>
      <c r="F18" s="95">
        <v>0</v>
      </c>
      <c r="H18" s="4">
        <v>15</v>
      </c>
      <c r="I18" s="3" t="s">
        <v>147</v>
      </c>
      <c r="J18" s="95">
        <v>4397.0400008639999</v>
      </c>
      <c r="K18" s="95">
        <v>-73.093712232000001</v>
      </c>
      <c r="L18" s="7">
        <v>4189.0903999100001</v>
      </c>
      <c r="M18" s="7">
        <v>397.174856906</v>
      </c>
      <c r="N18" s="5">
        <v>-4621.8953215800002</v>
      </c>
      <c r="O18" s="74">
        <v>9.4811717816959268E-2</v>
      </c>
      <c r="P18" s="5">
        <v>163140.888730545</v>
      </c>
      <c r="Q18" s="5">
        <v>0</v>
      </c>
      <c r="R18" s="5">
        <v>0</v>
      </c>
      <c r="S18" s="5">
        <v>0</v>
      </c>
      <c r="T18" s="5">
        <v>0</v>
      </c>
      <c r="U18" s="74">
        <v>0</v>
      </c>
      <c r="V18" s="5">
        <v>0</v>
      </c>
      <c r="W18" s="5">
        <v>3.3112089139999998</v>
      </c>
      <c r="X18" s="5">
        <v>0</v>
      </c>
      <c r="Y18" s="5">
        <v>-77.087247284</v>
      </c>
      <c r="Z18" s="5">
        <v>0</v>
      </c>
      <c r="AA18" s="95">
        <v>0</v>
      </c>
      <c r="AB18" s="95">
        <v>-1039.7978641740001</v>
      </c>
      <c r="AC18" s="5">
        <v>-1194.7517822360001</v>
      </c>
    </row>
    <row r="19" spans="1:29" x14ac:dyDescent="0.25">
      <c r="A19" s="4">
        <v>16</v>
      </c>
      <c r="B19" s="3" t="s">
        <v>148</v>
      </c>
      <c r="C19" s="7">
        <v>0</v>
      </c>
      <c r="D19" s="95">
        <v>0</v>
      </c>
      <c r="E19" s="95">
        <v>0</v>
      </c>
      <c r="F19" s="95">
        <v>0</v>
      </c>
      <c r="H19" s="4">
        <v>16</v>
      </c>
      <c r="I19" s="3" t="s">
        <v>148</v>
      </c>
      <c r="J19" s="95">
        <v>288.00000172799997</v>
      </c>
      <c r="K19" s="95">
        <v>8.8152808329999992</v>
      </c>
      <c r="L19" s="7">
        <v>324.43033991800002</v>
      </c>
      <c r="M19" s="7">
        <v>44.697349187999997</v>
      </c>
      <c r="N19" s="5">
        <v>839.65948705200003</v>
      </c>
      <c r="O19" s="74">
        <v>0.13777179162496728</v>
      </c>
      <c r="P19" s="5">
        <v>13159.615354039999</v>
      </c>
      <c r="Q19" s="5">
        <v>0</v>
      </c>
      <c r="R19" s="5">
        <v>0</v>
      </c>
      <c r="S19" s="5">
        <v>0</v>
      </c>
      <c r="T19" s="5">
        <v>0</v>
      </c>
      <c r="U19" s="74">
        <v>0</v>
      </c>
      <c r="V19" s="5">
        <v>0</v>
      </c>
      <c r="W19" s="5">
        <v>-0.16781466</v>
      </c>
      <c r="X19" s="5">
        <v>0</v>
      </c>
      <c r="Y19" s="5">
        <v>-2.5031139320000002</v>
      </c>
      <c r="Z19" s="5">
        <v>0</v>
      </c>
      <c r="AA19" s="95">
        <v>0</v>
      </c>
      <c r="AB19" s="95">
        <v>0</v>
      </c>
      <c r="AC19" s="5">
        <v>-5.267709677</v>
      </c>
    </row>
    <row r="20" spans="1:29" x14ac:dyDescent="0.25">
      <c r="A20" s="4">
        <v>17</v>
      </c>
      <c r="B20" s="3" t="s">
        <v>149</v>
      </c>
      <c r="C20" s="7">
        <v>-7.6499999999999999E-2</v>
      </c>
      <c r="D20" s="95">
        <v>-1.556</v>
      </c>
      <c r="E20" s="95">
        <v>4.8800000000000003E-2</v>
      </c>
      <c r="F20" s="95">
        <v>3.0945999999999998</v>
      </c>
      <c r="H20" s="4">
        <v>17</v>
      </c>
      <c r="I20" s="3" t="s">
        <v>149</v>
      </c>
      <c r="J20" s="95">
        <v>588.719999616</v>
      </c>
      <c r="K20" s="95">
        <v>-50.900416522999997</v>
      </c>
      <c r="L20" s="7">
        <v>551.54143958999998</v>
      </c>
      <c r="M20" s="7">
        <v>13.910235939</v>
      </c>
      <c r="N20" s="5">
        <v>365.30982818899997</v>
      </c>
      <c r="O20" s="74">
        <v>2.5220654225619872E-2</v>
      </c>
      <c r="P20" s="5">
        <v>17336.787539698002</v>
      </c>
      <c r="Q20" s="5">
        <v>0</v>
      </c>
      <c r="R20" s="5">
        <v>0</v>
      </c>
      <c r="S20" s="5">
        <v>0</v>
      </c>
      <c r="T20" s="5">
        <v>0</v>
      </c>
      <c r="U20" s="74">
        <v>0</v>
      </c>
      <c r="V20" s="5">
        <v>0</v>
      </c>
      <c r="W20" s="5">
        <v>-7.4326159000000003E-2</v>
      </c>
      <c r="X20" s="5">
        <v>0</v>
      </c>
      <c r="Y20" s="5">
        <v>-6.2874361000000004E-2</v>
      </c>
      <c r="Z20" s="5">
        <v>0</v>
      </c>
      <c r="AA20" s="95">
        <v>0</v>
      </c>
      <c r="AB20" s="95">
        <v>0</v>
      </c>
      <c r="AC20" s="5">
        <v>-0.138220853</v>
      </c>
    </row>
    <row r="21" spans="1:29" x14ac:dyDescent="0.25">
      <c r="A21" s="4">
        <v>18</v>
      </c>
      <c r="B21" s="3" t="s">
        <v>150</v>
      </c>
      <c r="C21" s="7">
        <v>-0.1077</v>
      </c>
      <c r="D21" s="95">
        <v>-3.9592999999999998</v>
      </c>
      <c r="E21" s="95">
        <v>0.12379999999999999</v>
      </c>
      <c r="F21" s="95">
        <v>72.386300000000006</v>
      </c>
      <c r="H21" s="4">
        <v>18</v>
      </c>
      <c r="I21" s="3" t="s">
        <v>150</v>
      </c>
      <c r="J21" s="95">
        <v>604.76999990399997</v>
      </c>
      <c r="K21" s="95">
        <v>0.35414166800000002</v>
      </c>
      <c r="L21" s="7">
        <v>231.39048775200001</v>
      </c>
      <c r="M21" s="7">
        <v>375.26080046700002</v>
      </c>
      <c r="N21" s="5">
        <v>-11976.063974912</v>
      </c>
      <c r="O21" s="74">
        <v>1.6217641620134251</v>
      </c>
      <c r="P21" s="5">
        <v>12780.097937312001</v>
      </c>
      <c r="Q21" s="5">
        <v>0</v>
      </c>
      <c r="R21" s="5">
        <v>0</v>
      </c>
      <c r="S21" s="5">
        <v>0</v>
      </c>
      <c r="T21" s="5">
        <v>0</v>
      </c>
      <c r="U21" s="74">
        <v>0</v>
      </c>
      <c r="V21" s="5">
        <v>0</v>
      </c>
      <c r="W21" s="5">
        <v>0</v>
      </c>
      <c r="X21" s="5">
        <v>0</v>
      </c>
      <c r="Y21" s="5">
        <v>-61.204146813000001</v>
      </c>
      <c r="Z21" s="5">
        <v>0</v>
      </c>
      <c r="AA21" s="95">
        <v>0</v>
      </c>
      <c r="AB21" s="95">
        <v>0</v>
      </c>
      <c r="AC21" s="5">
        <v>-221.83846625499999</v>
      </c>
    </row>
    <row r="22" spans="1:29" x14ac:dyDescent="0.25">
      <c r="A22" s="4">
        <v>19</v>
      </c>
      <c r="B22" s="3" t="s">
        <v>151</v>
      </c>
      <c r="C22" s="7">
        <v>-1.0699999999999999E-2</v>
      </c>
      <c r="D22" s="95">
        <v>-0.1978</v>
      </c>
      <c r="E22" s="95">
        <v>58.155200000000001</v>
      </c>
      <c r="F22" s="95">
        <v>2120.7817</v>
      </c>
      <c r="H22" s="4">
        <v>19</v>
      </c>
      <c r="I22" s="3" t="s">
        <v>151</v>
      </c>
      <c r="J22" s="95">
        <v>1926.240001632</v>
      </c>
      <c r="K22" s="95">
        <v>63.501275090999997</v>
      </c>
      <c r="L22" s="7">
        <v>1993.6466785810001</v>
      </c>
      <c r="M22" s="7">
        <v>126.782607171</v>
      </c>
      <c r="N22" s="5">
        <v>-112.867566004</v>
      </c>
      <c r="O22" s="74">
        <v>6.3593317980114167E-2</v>
      </c>
      <c r="P22" s="5">
        <v>80131.564760056994</v>
      </c>
      <c r="Q22" s="5">
        <v>0</v>
      </c>
      <c r="R22" s="5">
        <v>0</v>
      </c>
      <c r="S22" s="5">
        <v>0</v>
      </c>
      <c r="T22" s="5">
        <v>0</v>
      </c>
      <c r="U22" s="74">
        <v>0</v>
      </c>
      <c r="V22" s="5">
        <v>0</v>
      </c>
      <c r="W22" s="5">
        <v>1.555806765</v>
      </c>
      <c r="X22" s="5">
        <v>0</v>
      </c>
      <c r="Y22" s="5">
        <v>-17.065791166</v>
      </c>
      <c r="Z22" s="5">
        <v>0</v>
      </c>
      <c r="AA22" s="95">
        <v>0</v>
      </c>
      <c r="AB22" s="95">
        <v>0</v>
      </c>
      <c r="AC22" s="5">
        <v>-33.754066913999999</v>
      </c>
    </row>
    <row r="23" spans="1:29" x14ac:dyDescent="0.25">
      <c r="A23" s="4">
        <v>20</v>
      </c>
      <c r="B23" s="3" t="s">
        <v>152</v>
      </c>
      <c r="C23" s="7">
        <v>0</v>
      </c>
      <c r="D23" s="95">
        <v>0</v>
      </c>
      <c r="E23" s="95">
        <v>0</v>
      </c>
      <c r="F23" s="95">
        <v>0</v>
      </c>
      <c r="H23" s="4">
        <v>20</v>
      </c>
      <c r="I23" s="3" t="s">
        <v>152</v>
      </c>
      <c r="J23" s="95">
        <v>4038.2400015359999</v>
      </c>
      <c r="K23" s="95">
        <v>-74.074662669000006</v>
      </c>
      <c r="L23" s="7">
        <v>3904.6116626530002</v>
      </c>
      <c r="M23" s="7">
        <v>254.32065817700001</v>
      </c>
      <c r="N23" s="5">
        <v>-1930.4176816740001</v>
      </c>
      <c r="O23" s="74">
        <v>6.5133406379317388E-2</v>
      </c>
      <c r="P23" s="5">
        <v>149402.342928014</v>
      </c>
      <c r="Q23" s="5">
        <v>0</v>
      </c>
      <c r="R23" s="5">
        <v>0</v>
      </c>
      <c r="S23" s="5">
        <v>0</v>
      </c>
      <c r="T23" s="5">
        <v>0</v>
      </c>
      <c r="U23" s="74">
        <v>0</v>
      </c>
      <c r="V23" s="5">
        <v>0</v>
      </c>
      <c r="W23" s="5">
        <v>17.500165979999998</v>
      </c>
      <c r="X23" s="5">
        <v>0</v>
      </c>
      <c r="Y23" s="5">
        <v>-43.474481875000002</v>
      </c>
      <c r="Z23" s="5">
        <v>0</v>
      </c>
      <c r="AA23" s="95">
        <v>0</v>
      </c>
      <c r="AB23" s="95">
        <v>0</v>
      </c>
      <c r="AC23" s="5">
        <v>-74.764735967999997</v>
      </c>
    </row>
    <row r="24" spans="1:29" x14ac:dyDescent="0.25">
      <c r="A24" s="4">
        <v>21</v>
      </c>
      <c r="B24" s="3" t="s">
        <v>153</v>
      </c>
      <c r="C24" s="7">
        <v>0</v>
      </c>
      <c r="D24" s="95">
        <v>0</v>
      </c>
      <c r="E24" s="95">
        <v>0</v>
      </c>
      <c r="F24" s="95">
        <v>0</v>
      </c>
      <c r="H24" s="4">
        <v>21</v>
      </c>
      <c r="I24" s="3" t="s">
        <v>153</v>
      </c>
      <c r="J24" s="95">
        <v>488.159998272</v>
      </c>
      <c r="K24" s="95">
        <v>-7.5421819110000001</v>
      </c>
      <c r="L24" s="7">
        <v>459.931682787</v>
      </c>
      <c r="M24" s="7">
        <v>32.030054210000003</v>
      </c>
      <c r="N24" s="5">
        <v>-680.58525377199999</v>
      </c>
      <c r="O24" s="74">
        <v>6.9640895395400526E-2</v>
      </c>
      <c r="P24" s="5">
        <v>17625.916430359001</v>
      </c>
      <c r="Q24" s="5">
        <v>0</v>
      </c>
      <c r="R24" s="5">
        <v>0</v>
      </c>
      <c r="S24" s="5">
        <v>0</v>
      </c>
      <c r="T24" s="5">
        <v>0</v>
      </c>
      <c r="U24" s="74">
        <v>0</v>
      </c>
      <c r="V24" s="5">
        <v>0</v>
      </c>
      <c r="W24" s="5">
        <v>0.304341786</v>
      </c>
      <c r="X24" s="5">
        <v>0</v>
      </c>
      <c r="Y24" s="5">
        <v>-6.6590740449999997</v>
      </c>
      <c r="Z24" s="5">
        <v>0</v>
      </c>
      <c r="AA24" s="95">
        <v>0</v>
      </c>
      <c r="AB24" s="95">
        <v>0</v>
      </c>
      <c r="AC24" s="5">
        <v>-15.100124936</v>
      </c>
    </row>
    <row r="25" spans="1:29" x14ac:dyDescent="0.25">
      <c r="A25" s="3" t="s">
        <v>154</v>
      </c>
      <c r="B25"/>
      <c r="C25" s="7">
        <v>-565.85169999999994</v>
      </c>
      <c r="D25" s="95">
        <v>-15320.306599999998</v>
      </c>
      <c r="E25" s="95">
        <v>867.50969999999995</v>
      </c>
      <c r="F25" s="95">
        <v>39950.998299999985</v>
      </c>
      <c r="H25" s="3" t="s">
        <v>154</v>
      </c>
      <c r="J25" s="95">
        <v>208554.99000124799</v>
      </c>
      <c r="K25" s="95">
        <v>-2221.7611602820007</v>
      </c>
      <c r="L25" s="7">
        <v>205381.08478124396</v>
      </c>
      <c r="M25" s="7">
        <v>7151.5130523189991</v>
      </c>
      <c r="N25" s="5">
        <v>-63806.793856588993</v>
      </c>
      <c r="O25" s="74">
        <v>3.4820699578718445E-2</v>
      </c>
      <c r="P25" s="5">
        <v>9003741.0380686689</v>
      </c>
      <c r="Q25" s="5">
        <v>145991.3548685</v>
      </c>
      <c r="R25" s="5">
        <v>1.36</v>
      </c>
      <c r="S25" s="5">
        <v>2220.5509084999999</v>
      </c>
      <c r="T25" s="5">
        <v>14496.419714600001</v>
      </c>
      <c r="U25" s="74">
        <v>0.19817123698304756</v>
      </c>
      <c r="V25" s="5">
        <v>-32244.379642992997</v>
      </c>
      <c r="W25" s="5">
        <v>-5229.7038943480002</v>
      </c>
      <c r="X25" s="5">
        <v>6614.9172363140005</v>
      </c>
      <c r="Y25" s="5">
        <v>-1022.6451003150001</v>
      </c>
      <c r="Z25" s="5">
        <v>0</v>
      </c>
      <c r="AA25" s="95">
        <v>0</v>
      </c>
      <c r="AB25" s="95">
        <v>-121375.260226914</v>
      </c>
      <c r="AC25" s="5">
        <v>8057.5854731790077</v>
      </c>
    </row>
    <row r="26" spans="1:29" x14ac:dyDescent="0.25">
      <c r="A26" s="4">
        <v>22</v>
      </c>
      <c r="B26" s="3" t="s">
        <v>155</v>
      </c>
      <c r="C26" s="7">
        <v>-1.9532</v>
      </c>
      <c r="D26" s="95">
        <v>-68.741900000000001</v>
      </c>
      <c r="E26" s="95">
        <v>173.40360000000001</v>
      </c>
      <c r="F26" s="95">
        <v>6927.7359999999999</v>
      </c>
      <c r="H26" s="4">
        <v>22</v>
      </c>
      <c r="I26" s="3" t="s">
        <v>155</v>
      </c>
      <c r="J26" s="95">
        <v>312.63999966</v>
      </c>
      <c r="K26" s="95">
        <v>126.519166633</v>
      </c>
      <c r="L26" s="7">
        <v>594.24118954200003</v>
      </c>
      <c r="M26" s="7">
        <v>205.020712143</v>
      </c>
      <c r="N26" s="5">
        <v>7944.7711157439999</v>
      </c>
      <c r="O26" s="74">
        <v>0.34501262408453337</v>
      </c>
      <c r="P26" s="5">
        <v>23934.820318534999</v>
      </c>
      <c r="Q26" s="5">
        <v>0</v>
      </c>
      <c r="R26" s="5">
        <v>0</v>
      </c>
      <c r="S26" s="5">
        <v>0</v>
      </c>
      <c r="T26" s="5">
        <v>0</v>
      </c>
      <c r="U26" s="74">
        <v>0</v>
      </c>
      <c r="V26" s="5">
        <v>0</v>
      </c>
      <c r="W26" s="5">
        <v>0</v>
      </c>
      <c r="X26" s="5">
        <v>0</v>
      </c>
      <c r="Y26" s="5">
        <v>-9.9908055820000001</v>
      </c>
      <c r="Z26" s="5">
        <v>0</v>
      </c>
      <c r="AA26" s="95">
        <v>0</v>
      </c>
      <c r="AB26" s="95">
        <v>-1473.835724562</v>
      </c>
      <c r="AC26" s="5">
        <v>-1487.3930126610001</v>
      </c>
    </row>
    <row r="27" spans="1:29" x14ac:dyDescent="0.25">
      <c r="A27" s="4">
        <v>23</v>
      </c>
      <c r="B27" s="3" t="s">
        <v>156</v>
      </c>
      <c r="C27" s="7">
        <v>-239.23349999999999</v>
      </c>
      <c r="D27" s="95">
        <v>-5841.0430999999999</v>
      </c>
      <c r="E27" s="95">
        <v>92.510199999999998</v>
      </c>
      <c r="F27" s="95">
        <v>1634.7339999999999</v>
      </c>
      <c r="H27" s="4">
        <v>23</v>
      </c>
      <c r="I27" s="3" t="s">
        <v>156</v>
      </c>
      <c r="J27" s="95">
        <v>10987.580000051999</v>
      </c>
      <c r="K27" s="95">
        <v>-324.35535932400001</v>
      </c>
      <c r="L27" s="7">
        <v>10601.51247206</v>
      </c>
      <c r="M27" s="7">
        <v>978.54867368199996</v>
      </c>
      <c r="N27" s="5">
        <v>-6205.9547360850001</v>
      </c>
      <c r="O27" s="74">
        <v>9.2302742298416243E-2</v>
      </c>
      <c r="P27" s="5">
        <v>490252.30956645001</v>
      </c>
      <c r="Q27" s="5">
        <v>108647.30378640001</v>
      </c>
      <c r="R27" s="5">
        <v>0</v>
      </c>
      <c r="S27" s="5">
        <v>0</v>
      </c>
      <c r="T27" s="5">
        <v>0</v>
      </c>
      <c r="U27" s="74">
        <v>0.23772253015252481</v>
      </c>
      <c r="V27" s="5">
        <v>-25827.911950352998</v>
      </c>
      <c r="W27" s="5">
        <v>-600.24566654700004</v>
      </c>
      <c r="X27" s="5">
        <v>613.283478059</v>
      </c>
      <c r="Y27" s="5">
        <v>-126.699022254</v>
      </c>
      <c r="Z27" s="5">
        <v>0</v>
      </c>
      <c r="AA27" s="95">
        <v>0</v>
      </c>
      <c r="AB27" s="95">
        <v>-30147.3773592</v>
      </c>
      <c r="AC27" s="5">
        <v>52351.187309296998</v>
      </c>
    </row>
    <row r="28" spans="1:29" x14ac:dyDescent="0.25">
      <c r="A28" s="4">
        <v>24</v>
      </c>
      <c r="B28" s="3" t="s">
        <v>157</v>
      </c>
      <c r="C28" s="7">
        <v>-148.03880000000001</v>
      </c>
      <c r="D28" s="95">
        <v>-4298.009</v>
      </c>
      <c r="E28" s="95">
        <v>7.7047999999999996</v>
      </c>
      <c r="F28" s="95">
        <v>-169.49270000000001</v>
      </c>
      <c r="H28" s="4">
        <v>24</v>
      </c>
      <c r="I28" s="3" t="s">
        <v>157</v>
      </c>
      <c r="J28" s="95">
        <v>1834.0000000560001</v>
      </c>
      <c r="K28" s="95">
        <v>-323.39104314899998</v>
      </c>
      <c r="L28" s="7">
        <v>1472.9705009710001</v>
      </c>
      <c r="M28" s="7">
        <v>389.60937497100002</v>
      </c>
      <c r="N28" s="5">
        <v>-791.849429966</v>
      </c>
      <c r="O28" s="74">
        <v>0.26450589113235112</v>
      </c>
      <c r="P28" s="5">
        <v>115040.220606121</v>
      </c>
      <c r="Q28" s="5">
        <v>0</v>
      </c>
      <c r="R28" s="5">
        <v>0</v>
      </c>
      <c r="S28" s="5">
        <v>0</v>
      </c>
      <c r="T28" s="5">
        <v>0</v>
      </c>
      <c r="U28" s="74">
        <v>0</v>
      </c>
      <c r="V28" s="5">
        <v>0</v>
      </c>
      <c r="W28" s="5">
        <v>236.901285027</v>
      </c>
      <c r="X28" s="5">
        <v>0</v>
      </c>
      <c r="Y28" s="5">
        <v>-77.924251995999995</v>
      </c>
      <c r="Z28" s="5">
        <v>0</v>
      </c>
      <c r="AA28" s="95">
        <v>0</v>
      </c>
      <c r="AB28" s="95">
        <v>-8326.7416214759996</v>
      </c>
      <c r="AC28" s="5">
        <v>-8223.9285905420002</v>
      </c>
    </row>
    <row r="29" spans="1:29" x14ac:dyDescent="0.25">
      <c r="A29" s="4">
        <v>25</v>
      </c>
      <c r="B29" s="3" t="s">
        <v>158</v>
      </c>
      <c r="C29" s="7">
        <v>-7.4928999999999997</v>
      </c>
      <c r="D29" s="95">
        <v>-215.17599999999999</v>
      </c>
      <c r="E29" s="95">
        <v>2.8529</v>
      </c>
      <c r="F29" s="95">
        <v>81.406400000000005</v>
      </c>
      <c r="H29" s="4">
        <v>25</v>
      </c>
      <c r="I29" s="3" t="s">
        <v>158</v>
      </c>
      <c r="J29" s="95">
        <v>9248.4999991080003</v>
      </c>
      <c r="K29" s="95">
        <v>121.498195653</v>
      </c>
      <c r="L29" s="7">
        <v>9418.4053799520007</v>
      </c>
      <c r="M29" s="7">
        <v>814.56913615099995</v>
      </c>
      <c r="N29" s="5">
        <v>-1239.9025866740001</v>
      </c>
      <c r="O29" s="74">
        <v>8.6486947980057238E-2</v>
      </c>
      <c r="P29" s="5">
        <v>445982.272772661</v>
      </c>
      <c r="Q29" s="5">
        <v>0</v>
      </c>
      <c r="R29" s="5">
        <v>0</v>
      </c>
      <c r="S29" s="5">
        <v>0</v>
      </c>
      <c r="T29" s="5">
        <v>0</v>
      </c>
      <c r="U29" s="74">
        <v>0</v>
      </c>
      <c r="V29" s="5">
        <v>0</v>
      </c>
      <c r="W29" s="5">
        <v>-537.78249882</v>
      </c>
      <c r="X29" s="5">
        <v>0</v>
      </c>
      <c r="Y29" s="5">
        <v>-38.291816804</v>
      </c>
      <c r="Z29" s="5">
        <v>0</v>
      </c>
      <c r="AA29" s="95">
        <v>0</v>
      </c>
      <c r="AB29" s="95">
        <v>-7031.1429133920001</v>
      </c>
      <c r="AC29" s="5">
        <v>-7819.3338722589997</v>
      </c>
    </row>
    <row r="30" spans="1:29" x14ac:dyDescent="0.25">
      <c r="A30" s="4">
        <v>26</v>
      </c>
      <c r="B30" s="3" t="s">
        <v>159</v>
      </c>
      <c r="C30" s="7">
        <v>-2.5907</v>
      </c>
      <c r="D30" s="95">
        <v>-72.408199999999994</v>
      </c>
      <c r="E30" s="95">
        <v>3.6179000000000001</v>
      </c>
      <c r="F30" s="95">
        <v>124.8079</v>
      </c>
      <c r="H30" s="4">
        <v>26</v>
      </c>
      <c r="I30" s="3" t="s">
        <v>159</v>
      </c>
      <c r="J30" s="95">
        <v>63045.399999816</v>
      </c>
      <c r="K30" s="95">
        <v>-116.66145876900001</v>
      </c>
      <c r="L30" s="7">
        <v>62971.899986933</v>
      </c>
      <c r="M30" s="7">
        <v>1083.9683026360001</v>
      </c>
      <c r="N30" s="5">
        <v>-2832.9250350259999</v>
      </c>
      <c r="O30" s="74">
        <v>1.7213523855258126E-2</v>
      </c>
      <c r="P30" s="5">
        <v>2550286.8541328101</v>
      </c>
      <c r="Q30" s="5">
        <v>0</v>
      </c>
      <c r="R30" s="5">
        <v>0</v>
      </c>
      <c r="S30" s="5">
        <v>0</v>
      </c>
      <c r="T30" s="5">
        <v>0</v>
      </c>
      <c r="U30" s="74">
        <v>0</v>
      </c>
      <c r="V30" s="5">
        <v>0</v>
      </c>
      <c r="W30" s="5">
        <v>-2108.2391589469999</v>
      </c>
      <c r="X30" s="5">
        <v>0</v>
      </c>
      <c r="Y30" s="5">
        <v>-180.61224175000001</v>
      </c>
      <c r="Z30" s="5">
        <v>0</v>
      </c>
      <c r="AA30" s="95">
        <v>0</v>
      </c>
      <c r="AB30" s="95">
        <v>-26984.084203181999</v>
      </c>
      <c r="AC30" s="5">
        <v>-29412.593619055999</v>
      </c>
    </row>
    <row r="31" spans="1:29" x14ac:dyDescent="0.25">
      <c r="A31" s="4">
        <v>27</v>
      </c>
      <c r="B31" s="3" t="s">
        <v>160</v>
      </c>
      <c r="C31" s="7">
        <v>-3.8982000000000001</v>
      </c>
      <c r="D31" s="95">
        <v>-144.6045</v>
      </c>
      <c r="E31" s="95">
        <v>0</v>
      </c>
      <c r="F31" s="95">
        <v>0</v>
      </c>
      <c r="H31" s="4">
        <v>27</v>
      </c>
      <c r="I31" s="3" t="s">
        <v>160</v>
      </c>
      <c r="J31" s="95">
        <v>0</v>
      </c>
      <c r="K31" s="95">
        <v>0</v>
      </c>
      <c r="L31" s="7">
        <v>-3.8982000000000001</v>
      </c>
      <c r="M31" s="7">
        <v>3.8982000000000001</v>
      </c>
      <c r="N31" s="5">
        <v>-144.60451764699999</v>
      </c>
      <c r="O31" s="74">
        <v>-1</v>
      </c>
      <c r="P31" s="5">
        <v>-144.60451764699999</v>
      </c>
      <c r="Q31" s="5">
        <v>0</v>
      </c>
      <c r="R31" s="5">
        <v>0</v>
      </c>
      <c r="S31" s="5">
        <v>0</v>
      </c>
      <c r="T31" s="5">
        <v>0</v>
      </c>
      <c r="U31" s="74">
        <v>0</v>
      </c>
      <c r="V31" s="5">
        <v>0</v>
      </c>
      <c r="W31" s="5">
        <v>0</v>
      </c>
      <c r="X31" s="5">
        <v>0</v>
      </c>
      <c r="Y31" s="5">
        <v>-0.90519848700000005</v>
      </c>
      <c r="Z31" s="5">
        <v>0</v>
      </c>
      <c r="AA31" s="95">
        <v>0</v>
      </c>
      <c r="AB31" s="95">
        <v>0</v>
      </c>
      <c r="AC31" s="5">
        <v>-2.3078830410000002</v>
      </c>
    </row>
    <row r="32" spans="1:29" x14ac:dyDescent="0.25">
      <c r="A32" s="4">
        <v>28</v>
      </c>
      <c r="B32" s="3" t="s">
        <v>161</v>
      </c>
      <c r="C32" s="7">
        <v>-0.37519999999999998</v>
      </c>
      <c r="D32" s="95">
        <v>-12.441800000000001</v>
      </c>
      <c r="E32" s="95">
        <v>382.49889999999999</v>
      </c>
      <c r="F32" s="95">
        <v>10255.1536</v>
      </c>
      <c r="H32" s="4">
        <v>28</v>
      </c>
      <c r="I32" s="3" t="s">
        <v>161</v>
      </c>
      <c r="J32" s="95">
        <v>49695.500000220003</v>
      </c>
      <c r="K32" s="95">
        <v>-205.516547245</v>
      </c>
      <c r="L32" s="7">
        <v>49424.590026414997</v>
      </c>
      <c r="M32" s="7">
        <v>896.20514729399997</v>
      </c>
      <c r="N32" s="5">
        <v>-6132.3575825859998</v>
      </c>
      <c r="O32" s="74">
        <v>1.8132778578740311E-2</v>
      </c>
      <c r="P32" s="5">
        <v>2039195.27254295</v>
      </c>
      <c r="Q32" s="5">
        <v>0</v>
      </c>
      <c r="R32" s="5">
        <v>0</v>
      </c>
      <c r="S32" s="5">
        <v>0</v>
      </c>
      <c r="T32" s="5">
        <v>0</v>
      </c>
      <c r="U32" s="74">
        <v>0</v>
      </c>
      <c r="V32" s="5">
        <v>0</v>
      </c>
      <c r="W32" s="5">
        <v>-1165.71078893</v>
      </c>
      <c r="X32" s="5">
        <v>0</v>
      </c>
      <c r="Y32" s="5">
        <v>-48.630081013000002</v>
      </c>
      <c r="Z32" s="5">
        <v>0</v>
      </c>
      <c r="AA32" s="95">
        <v>0</v>
      </c>
      <c r="AB32" s="95">
        <v>-19875.779013089999</v>
      </c>
      <c r="AC32" s="5">
        <v>-21326.424666628001</v>
      </c>
    </row>
    <row r="33" spans="1:29" x14ac:dyDescent="0.25">
      <c r="A33" s="4">
        <v>29</v>
      </c>
      <c r="B33" s="3" t="s">
        <v>162</v>
      </c>
      <c r="C33" s="7">
        <v>0</v>
      </c>
      <c r="D33" s="95">
        <v>0</v>
      </c>
      <c r="E33" s="95">
        <v>0</v>
      </c>
      <c r="F33" s="95">
        <v>0</v>
      </c>
      <c r="H33" s="4">
        <v>29</v>
      </c>
      <c r="I33" s="3" t="s">
        <v>162</v>
      </c>
      <c r="J33" s="95">
        <v>0</v>
      </c>
      <c r="K33" s="95">
        <v>0</v>
      </c>
      <c r="L33" s="7">
        <v>0</v>
      </c>
      <c r="M33" s="7">
        <v>0</v>
      </c>
      <c r="N33" s="5">
        <v>0</v>
      </c>
      <c r="O33" s="74">
        <v>0</v>
      </c>
      <c r="P33" s="5">
        <v>0</v>
      </c>
      <c r="Q33" s="5">
        <v>0</v>
      </c>
      <c r="R33" s="5">
        <v>0</v>
      </c>
      <c r="S33" s="5">
        <v>0</v>
      </c>
      <c r="T33" s="5">
        <v>0</v>
      </c>
      <c r="U33" s="74">
        <v>0</v>
      </c>
      <c r="V33" s="5">
        <v>0</v>
      </c>
      <c r="W33" s="5">
        <v>0</v>
      </c>
      <c r="X33" s="5">
        <v>0</v>
      </c>
      <c r="Y33" s="5">
        <v>0</v>
      </c>
      <c r="Z33" s="5">
        <v>0</v>
      </c>
      <c r="AA33" s="95">
        <v>0</v>
      </c>
      <c r="AB33" s="95">
        <v>0</v>
      </c>
      <c r="AC33" s="5">
        <v>0</v>
      </c>
    </row>
    <row r="34" spans="1:29" x14ac:dyDescent="0.25">
      <c r="A34" s="4">
        <v>30</v>
      </c>
      <c r="B34" s="3" t="s">
        <v>163</v>
      </c>
      <c r="C34" s="7">
        <v>0</v>
      </c>
      <c r="D34" s="95">
        <v>0</v>
      </c>
      <c r="E34" s="95">
        <v>0</v>
      </c>
      <c r="F34" s="95">
        <v>0</v>
      </c>
      <c r="H34" s="4">
        <v>30</v>
      </c>
      <c r="I34" s="3" t="s">
        <v>163</v>
      </c>
      <c r="J34" s="95">
        <v>0</v>
      </c>
      <c r="K34" s="95">
        <v>0</v>
      </c>
      <c r="L34" s="7">
        <v>0</v>
      </c>
      <c r="M34" s="7">
        <v>0</v>
      </c>
      <c r="N34" s="5">
        <v>0</v>
      </c>
      <c r="O34" s="74">
        <v>0</v>
      </c>
      <c r="P34" s="5">
        <v>0</v>
      </c>
      <c r="Q34" s="5">
        <v>0</v>
      </c>
      <c r="R34" s="5">
        <v>0</v>
      </c>
      <c r="S34" s="5">
        <v>0</v>
      </c>
      <c r="T34" s="5">
        <v>0</v>
      </c>
      <c r="U34" s="74">
        <v>0</v>
      </c>
      <c r="V34" s="5">
        <v>0</v>
      </c>
      <c r="W34" s="5">
        <v>0</v>
      </c>
      <c r="X34" s="5">
        <v>0</v>
      </c>
      <c r="Y34" s="5">
        <v>0</v>
      </c>
      <c r="Z34" s="5">
        <v>0</v>
      </c>
      <c r="AA34" s="95">
        <v>0</v>
      </c>
      <c r="AB34" s="95">
        <v>0</v>
      </c>
      <c r="AC34" s="5">
        <v>0</v>
      </c>
    </row>
    <row r="35" spans="1:29" x14ac:dyDescent="0.25">
      <c r="A35" s="4">
        <v>31</v>
      </c>
      <c r="B35" s="3" t="s">
        <v>164</v>
      </c>
      <c r="C35" s="7">
        <v>-153.48849999999999</v>
      </c>
      <c r="D35" s="95">
        <v>-4263.1545999999998</v>
      </c>
      <c r="E35" s="95">
        <v>190.1962</v>
      </c>
      <c r="F35" s="95">
        <v>20380.875199999999</v>
      </c>
      <c r="H35" s="4">
        <v>31</v>
      </c>
      <c r="I35" s="3" t="s">
        <v>164</v>
      </c>
      <c r="J35" s="95">
        <v>10725.469999512001</v>
      </c>
      <c r="K35" s="95">
        <v>-381.08048157500002</v>
      </c>
      <c r="L35" s="7">
        <v>10157.152339622</v>
      </c>
      <c r="M35" s="7">
        <v>633.20122577200004</v>
      </c>
      <c r="N35" s="5">
        <v>-9003.5070470610008</v>
      </c>
      <c r="O35" s="74">
        <v>6.2340428163309869E-2</v>
      </c>
      <c r="P35" s="5">
        <v>654972.02753050602</v>
      </c>
      <c r="Q35" s="5">
        <v>37344.051082099999</v>
      </c>
      <c r="R35" s="5">
        <v>1.36</v>
      </c>
      <c r="S35" s="5">
        <v>2220.5509084999999</v>
      </c>
      <c r="T35" s="5">
        <v>14496.419714600001</v>
      </c>
      <c r="U35" s="74">
        <v>0.11868636730857957</v>
      </c>
      <c r="V35" s="5">
        <v>-6416.4676926399998</v>
      </c>
      <c r="W35" s="5">
        <v>952.40317114599998</v>
      </c>
      <c r="X35" s="5">
        <v>6001.6337582550004</v>
      </c>
      <c r="Y35" s="5">
        <v>-148.94228927200001</v>
      </c>
      <c r="Z35" s="5">
        <v>0</v>
      </c>
      <c r="AA35" s="95">
        <v>0</v>
      </c>
      <c r="AB35" s="95">
        <v>0</v>
      </c>
      <c r="AC35" s="5">
        <v>54395.324390884001</v>
      </c>
    </row>
    <row r="36" spans="1:29" x14ac:dyDescent="0.25">
      <c r="A36" s="4">
        <v>32</v>
      </c>
      <c r="B36" s="3" t="s">
        <v>165</v>
      </c>
      <c r="C36" s="7">
        <v>-1.0414000000000001</v>
      </c>
      <c r="D36" s="95">
        <v>-42.107999999999997</v>
      </c>
      <c r="E36" s="95">
        <v>3.8307000000000002</v>
      </c>
      <c r="F36" s="95">
        <v>96.064599999999999</v>
      </c>
      <c r="H36" s="4">
        <v>32</v>
      </c>
      <c r="I36" s="3" t="s">
        <v>165</v>
      </c>
      <c r="J36" s="95">
        <v>21726.500001492001</v>
      </c>
      <c r="K36" s="95">
        <v>-433.26306896</v>
      </c>
      <c r="L36" s="7">
        <v>21246.344391815001</v>
      </c>
      <c r="M36" s="7">
        <v>366.76106441000002</v>
      </c>
      <c r="N36" s="5">
        <v>-4369.688655125</v>
      </c>
      <c r="O36" s="74">
        <v>1.7262313819561923E-2</v>
      </c>
      <c r="P36" s="5">
        <v>907991.46013022296</v>
      </c>
      <c r="Q36" s="5">
        <v>0</v>
      </c>
      <c r="R36" s="5">
        <v>0</v>
      </c>
      <c r="S36" s="5">
        <v>0</v>
      </c>
      <c r="T36" s="5">
        <v>0</v>
      </c>
      <c r="U36" s="74">
        <v>0</v>
      </c>
      <c r="V36" s="5">
        <v>0</v>
      </c>
      <c r="W36" s="5">
        <v>-390.32372277000002</v>
      </c>
      <c r="X36" s="5">
        <v>0</v>
      </c>
      <c r="Y36" s="5">
        <v>-45.460271149999997</v>
      </c>
      <c r="Z36" s="5">
        <v>0</v>
      </c>
      <c r="AA36" s="95">
        <v>0</v>
      </c>
      <c r="AB36" s="95">
        <v>-8560.3263688259995</v>
      </c>
      <c r="AC36" s="5">
        <v>-9066.7329672119995</v>
      </c>
    </row>
    <row r="37" spans="1:29" x14ac:dyDescent="0.25">
      <c r="A37" s="4">
        <v>33</v>
      </c>
      <c r="B37" s="3" t="s">
        <v>166</v>
      </c>
      <c r="C37" s="7">
        <v>-0.91869999999999996</v>
      </c>
      <c r="D37" s="95">
        <v>-23.606300000000001</v>
      </c>
      <c r="E37" s="95">
        <v>1.0864</v>
      </c>
      <c r="F37" s="95">
        <v>29.938700000000001</v>
      </c>
      <c r="H37" s="4">
        <v>33</v>
      </c>
      <c r="I37" s="3" t="s">
        <v>166</v>
      </c>
      <c r="J37" s="95">
        <v>17539.500001008</v>
      </c>
      <c r="K37" s="95">
        <v>-429.53896329200001</v>
      </c>
      <c r="L37" s="7">
        <v>16892.709106742001</v>
      </c>
      <c r="M37" s="7">
        <v>681.03643219399999</v>
      </c>
      <c r="N37" s="5">
        <v>-12082.893471261999</v>
      </c>
      <c r="O37" s="74">
        <v>4.031540636203778E-2</v>
      </c>
      <c r="P37" s="5">
        <v>802360.34280026902</v>
      </c>
      <c r="Q37" s="5">
        <v>0</v>
      </c>
      <c r="R37" s="5">
        <v>0</v>
      </c>
      <c r="S37" s="5">
        <v>0</v>
      </c>
      <c r="T37" s="5">
        <v>0</v>
      </c>
      <c r="U37" s="74">
        <v>0</v>
      </c>
      <c r="V37" s="5">
        <v>0</v>
      </c>
      <c r="W37" s="5">
        <v>-997.68198527699997</v>
      </c>
      <c r="X37" s="5">
        <v>0</v>
      </c>
      <c r="Y37" s="5">
        <v>-145.29997951000001</v>
      </c>
      <c r="Z37" s="5">
        <v>0</v>
      </c>
      <c r="AA37" s="95">
        <v>0</v>
      </c>
      <c r="AB37" s="95">
        <v>-8525.7115008660003</v>
      </c>
      <c r="AC37" s="5">
        <v>-9784.4952164349997</v>
      </c>
    </row>
    <row r="38" spans="1:29" x14ac:dyDescent="0.25">
      <c r="A38" s="4">
        <v>34</v>
      </c>
      <c r="B38" s="3" t="s">
        <v>167</v>
      </c>
      <c r="C38" s="7">
        <v>-0.57920000000000005</v>
      </c>
      <c r="D38" s="95">
        <v>-15.5814</v>
      </c>
      <c r="E38" s="95">
        <v>-1.145</v>
      </c>
      <c r="F38" s="95">
        <v>-41.314100000000003</v>
      </c>
      <c r="H38" s="4">
        <v>34</v>
      </c>
      <c r="I38" s="3" t="s">
        <v>167</v>
      </c>
      <c r="J38" s="95">
        <v>21857.000001516</v>
      </c>
      <c r="K38" s="95">
        <v>-106.98082013699999</v>
      </c>
      <c r="L38" s="7">
        <v>21402.650881004</v>
      </c>
      <c r="M38" s="7">
        <v>707.45388467700002</v>
      </c>
      <c r="N38" s="5">
        <v>-14691.453713514</v>
      </c>
      <c r="O38" s="74">
        <v>3.3054498183909702E-2</v>
      </c>
      <c r="P38" s="5">
        <v>921965.52842598595</v>
      </c>
      <c r="Q38" s="5">
        <v>0</v>
      </c>
      <c r="R38" s="5">
        <v>0</v>
      </c>
      <c r="S38" s="5">
        <v>0</v>
      </c>
      <c r="T38" s="5">
        <v>0</v>
      </c>
      <c r="U38" s="74">
        <v>0</v>
      </c>
      <c r="V38" s="5">
        <v>0</v>
      </c>
      <c r="W38" s="5">
        <v>-619.130166175</v>
      </c>
      <c r="X38" s="5">
        <v>0</v>
      </c>
      <c r="Y38" s="5">
        <v>-181.12829314699999</v>
      </c>
      <c r="Z38" s="5">
        <v>0</v>
      </c>
      <c r="AA38" s="95">
        <v>0</v>
      </c>
      <c r="AB38" s="95">
        <v>-10450.261522319999</v>
      </c>
      <c r="AC38" s="5">
        <v>-11380.814637408001</v>
      </c>
    </row>
    <row r="39" spans="1:29" x14ac:dyDescent="0.25">
      <c r="A39" s="4">
        <v>35</v>
      </c>
      <c r="B39" s="3" t="s">
        <v>168</v>
      </c>
      <c r="C39" s="7">
        <v>-2.6141999999999999</v>
      </c>
      <c r="D39" s="95">
        <v>-190.76480000000001</v>
      </c>
      <c r="E39" s="95">
        <v>6.2138999999999998</v>
      </c>
      <c r="F39" s="95">
        <v>408.62099999999998</v>
      </c>
      <c r="H39" s="4">
        <v>35</v>
      </c>
      <c r="I39" s="3" t="s">
        <v>168</v>
      </c>
      <c r="J39" s="95">
        <v>1042.77999948</v>
      </c>
      <c r="K39" s="95">
        <v>-138.19798857800001</v>
      </c>
      <c r="L39" s="7">
        <v>642.69973660100004</v>
      </c>
      <c r="M39" s="7">
        <v>302.88651224699998</v>
      </c>
      <c r="N39" s="5">
        <v>-15128.467783571999</v>
      </c>
      <c r="O39" s="74">
        <v>0.4712721897924747</v>
      </c>
      <c r="P39" s="5">
        <v>29879.050869581999</v>
      </c>
      <c r="Q39" s="5">
        <v>0</v>
      </c>
      <c r="R39" s="5">
        <v>0</v>
      </c>
      <c r="S39" s="5">
        <v>0</v>
      </c>
      <c r="T39" s="5">
        <v>0</v>
      </c>
      <c r="U39" s="74">
        <v>0</v>
      </c>
      <c r="V39" s="5">
        <v>0</v>
      </c>
      <c r="W39" s="5">
        <v>-7.5927963000000001E-2</v>
      </c>
      <c r="X39" s="5">
        <v>0</v>
      </c>
      <c r="Y39" s="5">
        <v>-8.0136645360000003</v>
      </c>
      <c r="Z39" s="5">
        <v>0</v>
      </c>
      <c r="AA39" s="95">
        <v>0</v>
      </c>
      <c r="AB39" s="95">
        <v>0</v>
      </c>
      <c r="AC39" s="5">
        <v>-167.77616050099999</v>
      </c>
    </row>
    <row r="40" spans="1:29" x14ac:dyDescent="0.25">
      <c r="A40" s="4">
        <v>36</v>
      </c>
      <c r="B40" s="3" t="s">
        <v>169</v>
      </c>
      <c r="C40" s="7">
        <v>-3.6272000000000002</v>
      </c>
      <c r="D40" s="95">
        <v>-132.667</v>
      </c>
      <c r="E40" s="95">
        <v>0</v>
      </c>
      <c r="F40" s="95">
        <v>0</v>
      </c>
      <c r="H40" s="4">
        <v>36</v>
      </c>
      <c r="I40" s="3" t="s">
        <v>169</v>
      </c>
      <c r="J40" s="95">
        <v>0</v>
      </c>
      <c r="K40" s="95">
        <v>0</v>
      </c>
      <c r="L40" s="7">
        <v>-3.6272250000000001</v>
      </c>
      <c r="M40" s="7">
        <v>3.6272250000000001</v>
      </c>
      <c r="N40" s="5">
        <v>-132.66696414800001</v>
      </c>
      <c r="O40" s="74">
        <v>-1</v>
      </c>
      <c r="P40" s="5">
        <v>-132.66696414800001</v>
      </c>
      <c r="Q40" s="5">
        <v>0</v>
      </c>
      <c r="R40" s="5">
        <v>0</v>
      </c>
      <c r="S40" s="5">
        <v>0</v>
      </c>
      <c r="T40" s="5">
        <v>0</v>
      </c>
      <c r="U40" s="74">
        <v>0</v>
      </c>
      <c r="V40" s="5">
        <v>0</v>
      </c>
      <c r="W40" s="5">
        <v>0</v>
      </c>
      <c r="X40" s="5">
        <v>0</v>
      </c>
      <c r="Y40" s="5">
        <v>-0.78173357899999996</v>
      </c>
      <c r="Z40" s="5">
        <v>0</v>
      </c>
      <c r="AA40" s="95">
        <v>0</v>
      </c>
      <c r="AB40" s="95">
        <v>0</v>
      </c>
      <c r="AC40" s="5">
        <v>-2.1324844619999999</v>
      </c>
    </row>
    <row r="41" spans="1:29" x14ac:dyDescent="0.25">
      <c r="A41" s="4">
        <v>37</v>
      </c>
      <c r="B41" s="3" t="s">
        <v>170</v>
      </c>
      <c r="C41" s="7">
        <v>0</v>
      </c>
      <c r="D41" s="95">
        <v>0</v>
      </c>
      <c r="E41" s="95">
        <v>0</v>
      </c>
      <c r="F41" s="95">
        <v>0</v>
      </c>
      <c r="H41" s="4">
        <v>37</v>
      </c>
      <c r="I41" s="3" t="s">
        <v>170</v>
      </c>
      <c r="J41" s="95">
        <v>0</v>
      </c>
      <c r="K41" s="95">
        <v>0</v>
      </c>
      <c r="L41" s="7">
        <v>0</v>
      </c>
      <c r="M41" s="7">
        <v>0</v>
      </c>
      <c r="N41" s="5">
        <v>0</v>
      </c>
      <c r="O41" s="74">
        <v>0</v>
      </c>
      <c r="P41" s="5">
        <v>0</v>
      </c>
      <c r="Q41" s="5">
        <v>0</v>
      </c>
      <c r="R41" s="5">
        <v>0</v>
      </c>
      <c r="S41" s="5">
        <v>0</v>
      </c>
      <c r="T41" s="5">
        <v>0</v>
      </c>
      <c r="U41" s="74">
        <v>0</v>
      </c>
      <c r="V41" s="5">
        <v>0</v>
      </c>
      <c r="W41" s="5">
        <v>0</v>
      </c>
      <c r="X41" s="5">
        <v>0</v>
      </c>
      <c r="Y41" s="5">
        <v>0</v>
      </c>
      <c r="Z41" s="5">
        <v>0</v>
      </c>
      <c r="AA41" s="95">
        <v>0</v>
      </c>
      <c r="AB41" s="95">
        <v>0</v>
      </c>
      <c r="AC41" s="5">
        <v>0</v>
      </c>
    </row>
    <row r="42" spans="1:29" x14ac:dyDescent="0.25">
      <c r="A42" s="4">
        <v>38</v>
      </c>
      <c r="B42" s="3" t="s">
        <v>171</v>
      </c>
      <c r="C42" s="7">
        <v>0</v>
      </c>
      <c r="D42" s="95">
        <v>0</v>
      </c>
      <c r="E42" s="95">
        <v>0</v>
      </c>
      <c r="F42" s="95">
        <v>0</v>
      </c>
      <c r="H42" s="4">
        <v>38</v>
      </c>
      <c r="I42" s="3" t="s">
        <v>171</v>
      </c>
      <c r="J42" s="95">
        <v>0</v>
      </c>
      <c r="K42" s="95">
        <v>0</v>
      </c>
      <c r="L42" s="7">
        <v>0</v>
      </c>
      <c r="M42" s="7">
        <v>0</v>
      </c>
      <c r="N42" s="5">
        <v>0</v>
      </c>
      <c r="O42" s="74">
        <v>0</v>
      </c>
      <c r="P42" s="5">
        <v>0</v>
      </c>
      <c r="Q42" s="5">
        <v>0</v>
      </c>
      <c r="R42" s="5">
        <v>0</v>
      </c>
      <c r="S42" s="5">
        <v>0</v>
      </c>
      <c r="T42" s="5">
        <v>0</v>
      </c>
      <c r="U42" s="74">
        <v>0</v>
      </c>
      <c r="V42" s="5">
        <v>0</v>
      </c>
      <c r="W42" s="5">
        <v>0</v>
      </c>
      <c r="X42" s="5">
        <v>0</v>
      </c>
      <c r="Y42" s="5">
        <v>0</v>
      </c>
      <c r="Z42" s="5">
        <v>0</v>
      </c>
      <c r="AA42" s="95">
        <v>0</v>
      </c>
      <c r="AB42" s="95">
        <v>0</v>
      </c>
      <c r="AC42" s="5">
        <v>0</v>
      </c>
    </row>
    <row r="43" spans="1:29" x14ac:dyDescent="0.25">
      <c r="A43" s="4">
        <v>39</v>
      </c>
      <c r="B43" s="3" t="s">
        <v>172</v>
      </c>
      <c r="C43" s="7">
        <v>0</v>
      </c>
      <c r="D43" s="95">
        <v>0</v>
      </c>
      <c r="E43" s="95">
        <v>4.7392000000000003</v>
      </c>
      <c r="F43" s="95">
        <v>222.46770000000001</v>
      </c>
      <c r="H43" s="4">
        <v>39</v>
      </c>
      <c r="I43" s="3" t="s">
        <v>172</v>
      </c>
      <c r="J43" s="95">
        <v>540.11999932799995</v>
      </c>
      <c r="K43" s="95">
        <v>-10.792791539</v>
      </c>
      <c r="L43" s="7">
        <v>563.43419458699998</v>
      </c>
      <c r="M43" s="7">
        <v>84.727161142</v>
      </c>
      <c r="N43" s="5">
        <v>1004.706550333</v>
      </c>
      <c r="O43" s="74">
        <v>0.15037632070610379</v>
      </c>
      <c r="P43" s="5">
        <v>22158.14985437</v>
      </c>
      <c r="Q43" s="5">
        <v>0</v>
      </c>
      <c r="R43" s="5">
        <v>0</v>
      </c>
      <c r="S43" s="5">
        <v>0</v>
      </c>
      <c r="T43" s="5">
        <v>0</v>
      </c>
      <c r="U43" s="74">
        <v>0</v>
      </c>
      <c r="V43" s="5">
        <v>0</v>
      </c>
      <c r="W43" s="5">
        <v>0.181564908</v>
      </c>
      <c r="X43" s="5">
        <v>0</v>
      </c>
      <c r="Y43" s="5">
        <v>-9.9654512349999997</v>
      </c>
      <c r="Z43" s="5">
        <v>0</v>
      </c>
      <c r="AA43" s="95">
        <v>0</v>
      </c>
      <c r="AB43" s="95">
        <v>0</v>
      </c>
      <c r="AC43" s="5">
        <v>-14.993116797000001</v>
      </c>
    </row>
    <row r="44" spans="1:29" x14ac:dyDescent="0.25">
      <c r="A44" s="3" t="s">
        <v>173</v>
      </c>
      <c r="B44"/>
      <c r="C44" s="7">
        <v>-602.02680000000021</v>
      </c>
      <c r="D44" s="95">
        <v>-18815.503000000001</v>
      </c>
      <c r="E44" s="95">
        <v>2058.2876999999999</v>
      </c>
      <c r="F44" s="95">
        <v>79096.094599999997</v>
      </c>
      <c r="H44" s="3" t="s">
        <v>173</v>
      </c>
      <c r="J44" s="95">
        <v>122551.92000827999</v>
      </c>
      <c r="K44" s="95">
        <v>-2145.405969465</v>
      </c>
      <c r="L44" s="7">
        <v>120704.00446870099</v>
      </c>
      <c r="M44" s="7">
        <v>7126.5725189710001</v>
      </c>
      <c r="N44" s="5">
        <v>24420.021473013996</v>
      </c>
      <c r="O44" s="74">
        <v>5.9041724011890152E-2</v>
      </c>
      <c r="P44" s="5">
        <v>5699765.5294313561</v>
      </c>
      <c r="Q44" s="5">
        <v>2856.7053592500001</v>
      </c>
      <c r="R44" s="5">
        <v>8.6253750000000004E-2</v>
      </c>
      <c r="S44" s="5">
        <v>20126.086255800001</v>
      </c>
      <c r="T44" s="5">
        <v>18846.521808649999</v>
      </c>
      <c r="U44" s="74">
        <v>7.7610809464787128E-2</v>
      </c>
      <c r="V44" s="5">
        <v>-3246.4135683929999</v>
      </c>
      <c r="W44" s="5">
        <v>-7573.4337162490001</v>
      </c>
      <c r="X44" s="5">
        <v>3220.4715248970001</v>
      </c>
      <c r="Y44" s="5">
        <v>-986.9473139820002</v>
      </c>
      <c r="Z44" s="5">
        <v>0</v>
      </c>
      <c r="AA44" s="95">
        <v>0</v>
      </c>
      <c r="AB44" s="95">
        <v>-150983.60327299201</v>
      </c>
      <c r="AC44" s="5">
        <v>-118146.51498020699</v>
      </c>
    </row>
    <row r="45" spans="1:29" x14ac:dyDescent="0.25">
      <c r="A45" s="4">
        <v>40</v>
      </c>
      <c r="B45" s="3" t="s">
        <v>174</v>
      </c>
      <c r="C45" s="7">
        <v>-14.7288</v>
      </c>
      <c r="D45" s="95">
        <v>-544.49090000000001</v>
      </c>
      <c r="E45" s="95">
        <v>0</v>
      </c>
      <c r="F45" s="95">
        <v>0</v>
      </c>
      <c r="H45" s="4">
        <v>40</v>
      </c>
      <c r="I45" s="3" t="s">
        <v>174</v>
      </c>
      <c r="J45" s="95">
        <v>0</v>
      </c>
      <c r="K45" s="95">
        <v>0</v>
      </c>
      <c r="L45" s="7">
        <v>-14.72875</v>
      </c>
      <c r="M45" s="7">
        <v>14.72875</v>
      </c>
      <c r="N45" s="5">
        <v>-544.49091832099998</v>
      </c>
      <c r="O45" s="74">
        <v>-1</v>
      </c>
      <c r="P45" s="5">
        <v>-544.49091832099998</v>
      </c>
      <c r="Q45" s="5">
        <v>0</v>
      </c>
      <c r="R45" s="5">
        <v>0</v>
      </c>
      <c r="S45" s="5">
        <v>0</v>
      </c>
      <c r="T45" s="5">
        <v>0</v>
      </c>
      <c r="U45" s="74">
        <v>0</v>
      </c>
      <c r="V45" s="5">
        <v>0</v>
      </c>
      <c r="W45" s="5">
        <v>0</v>
      </c>
      <c r="X45" s="5">
        <v>0</v>
      </c>
      <c r="Y45" s="5">
        <v>-3.671978915</v>
      </c>
      <c r="Z45" s="5">
        <v>0</v>
      </c>
      <c r="AA45" s="95">
        <v>0</v>
      </c>
      <c r="AB45" s="95">
        <v>0</v>
      </c>
      <c r="AC45" s="5">
        <v>-8.8055647459999999</v>
      </c>
    </row>
    <row r="46" spans="1:29" x14ac:dyDescent="0.25">
      <c r="A46" s="4">
        <v>41</v>
      </c>
      <c r="B46" s="3" t="s">
        <v>175</v>
      </c>
      <c r="C46" s="7">
        <v>0</v>
      </c>
      <c r="D46" s="95">
        <v>0</v>
      </c>
      <c r="E46" s="95">
        <v>0</v>
      </c>
      <c r="F46" s="95">
        <v>0</v>
      </c>
      <c r="H46" s="4">
        <v>41</v>
      </c>
      <c r="I46" s="3" t="s">
        <v>175</v>
      </c>
      <c r="J46" s="95">
        <v>1958.200000068</v>
      </c>
      <c r="K46" s="95">
        <v>147.115666683</v>
      </c>
      <c r="L46" s="7">
        <v>2033.7138804409999</v>
      </c>
      <c r="M46" s="7">
        <v>309.73733875400001</v>
      </c>
      <c r="N46" s="5">
        <v>-3259.3898497579999</v>
      </c>
      <c r="O46" s="74">
        <v>0.15230133487943504</v>
      </c>
      <c r="P46" s="5">
        <v>77763.155476658998</v>
      </c>
      <c r="Q46" s="5">
        <v>0</v>
      </c>
      <c r="R46" s="5">
        <v>0</v>
      </c>
      <c r="S46" s="5">
        <v>0</v>
      </c>
      <c r="T46" s="5">
        <v>0</v>
      </c>
      <c r="U46" s="74">
        <v>0</v>
      </c>
      <c r="V46" s="5">
        <v>0</v>
      </c>
      <c r="W46" s="5">
        <v>0.98152724999999996</v>
      </c>
      <c r="X46" s="5">
        <v>0</v>
      </c>
      <c r="Y46" s="5">
        <v>-57.160760355000001</v>
      </c>
      <c r="Z46" s="5">
        <v>0</v>
      </c>
      <c r="AA46" s="95">
        <v>0</v>
      </c>
      <c r="AB46" s="95">
        <v>0</v>
      </c>
      <c r="AC46" s="5">
        <v>-111.550908932</v>
      </c>
    </row>
    <row r="47" spans="1:29" x14ac:dyDescent="0.25">
      <c r="A47" s="4">
        <v>42</v>
      </c>
      <c r="B47" s="3" t="s">
        <v>176</v>
      </c>
      <c r="C47" s="7">
        <v>-4.4000000000000003E-3</v>
      </c>
      <c r="D47" s="95">
        <v>-0.12130000000000001</v>
      </c>
      <c r="E47" s="95">
        <v>87.550799999999995</v>
      </c>
      <c r="F47" s="95">
        <v>3151.6655000000001</v>
      </c>
      <c r="H47" s="4">
        <v>42</v>
      </c>
      <c r="I47" s="3" t="s">
        <v>176</v>
      </c>
      <c r="J47" s="95">
        <v>3489.4400016</v>
      </c>
      <c r="K47" s="95">
        <v>12.863209796</v>
      </c>
      <c r="L47" s="7">
        <v>3593.9060440080002</v>
      </c>
      <c r="M47" s="7">
        <v>270.55644866599999</v>
      </c>
      <c r="N47" s="5">
        <v>4975.7781990940002</v>
      </c>
      <c r="O47" s="74">
        <v>7.5282003856803587E-2</v>
      </c>
      <c r="P47" s="5">
        <v>141675.16323250101</v>
      </c>
      <c r="Q47" s="5">
        <v>0</v>
      </c>
      <c r="R47" s="5">
        <v>0</v>
      </c>
      <c r="S47" s="5">
        <v>0</v>
      </c>
      <c r="T47" s="5">
        <v>0</v>
      </c>
      <c r="U47" s="74">
        <v>0</v>
      </c>
      <c r="V47" s="5">
        <v>0</v>
      </c>
      <c r="W47" s="5">
        <v>-0.87554843900000001</v>
      </c>
      <c r="X47" s="5">
        <v>0</v>
      </c>
      <c r="Y47" s="5">
        <v>3.1357292750000001</v>
      </c>
      <c r="Z47" s="5">
        <v>0</v>
      </c>
      <c r="AA47" s="95">
        <v>0</v>
      </c>
      <c r="AB47" s="95">
        <v>0</v>
      </c>
      <c r="AC47" s="5">
        <v>-43.487972800999998</v>
      </c>
    </row>
    <row r="48" spans="1:29" x14ac:dyDescent="0.25">
      <c r="A48" s="4">
        <v>43</v>
      </c>
      <c r="B48" s="3" t="s">
        <v>177</v>
      </c>
      <c r="C48" s="7">
        <v>0</v>
      </c>
      <c r="D48" s="95">
        <v>0</v>
      </c>
      <c r="E48" s="95">
        <v>0</v>
      </c>
      <c r="F48" s="95">
        <v>0</v>
      </c>
      <c r="H48" s="4">
        <v>43</v>
      </c>
      <c r="I48" s="3" t="s">
        <v>177</v>
      </c>
      <c r="J48" s="95">
        <v>2309.7600011519999</v>
      </c>
      <c r="K48" s="95">
        <v>-78.545774953999995</v>
      </c>
      <c r="L48" s="7">
        <v>2039.9929044339999</v>
      </c>
      <c r="M48" s="7">
        <v>405.12632367600003</v>
      </c>
      <c r="N48" s="5">
        <v>-6346.8193912300003</v>
      </c>
      <c r="O48" s="74">
        <v>0.19859202588177782</v>
      </c>
      <c r="P48" s="5">
        <v>77586.132577889002</v>
      </c>
      <c r="Q48" s="5">
        <v>0</v>
      </c>
      <c r="R48" s="5">
        <v>0</v>
      </c>
      <c r="S48" s="5">
        <v>0</v>
      </c>
      <c r="T48" s="5">
        <v>0</v>
      </c>
      <c r="U48" s="74">
        <v>0</v>
      </c>
      <c r="V48" s="5">
        <v>0</v>
      </c>
      <c r="W48" s="5">
        <v>0.456844847</v>
      </c>
      <c r="X48" s="5">
        <v>0</v>
      </c>
      <c r="Y48" s="5">
        <v>-87.480631162999998</v>
      </c>
      <c r="Z48" s="5">
        <v>0</v>
      </c>
      <c r="AA48" s="95">
        <v>0</v>
      </c>
      <c r="AB48" s="95">
        <v>-693.19857485399996</v>
      </c>
      <c r="AC48" s="5">
        <v>-870.86991743399994</v>
      </c>
    </row>
    <row r="49" spans="1:29" x14ac:dyDescent="0.25">
      <c r="A49" s="4">
        <v>44</v>
      </c>
      <c r="B49" s="3" t="s">
        <v>178</v>
      </c>
      <c r="C49" s="7">
        <v>-95.665899999999993</v>
      </c>
      <c r="D49" s="95">
        <v>-2855.2532000000001</v>
      </c>
      <c r="E49" s="95">
        <v>289.08969999999999</v>
      </c>
      <c r="F49" s="95">
        <v>14924.812</v>
      </c>
      <c r="H49" s="4">
        <v>44</v>
      </c>
      <c r="I49" s="3" t="s">
        <v>178</v>
      </c>
      <c r="J49" s="95">
        <v>4972.4999991960003</v>
      </c>
      <c r="K49" s="95">
        <v>-107.354384504</v>
      </c>
      <c r="L49" s="7">
        <v>4929.7464362580004</v>
      </c>
      <c r="M49" s="7">
        <v>412.100552397</v>
      </c>
      <c r="N49" s="5">
        <v>8704.1854272210003</v>
      </c>
      <c r="O49" s="74">
        <v>8.3594675248614053E-2</v>
      </c>
      <c r="P49" s="5">
        <v>277999.23639626498</v>
      </c>
      <c r="Q49" s="5">
        <v>0</v>
      </c>
      <c r="R49" s="5">
        <v>0</v>
      </c>
      <c r="S49" s="5">
        <v>0</v>
      </c>
      <c r="T49" s="5">
        <v>0</v>
      </c>
      <c r="U49" s="74">
        <v>0</v>
      </c>
      <c r="V49" s="5">
        <v>0</v>
      </c>
      <c r="W49" s="5">
        <v>-424.90618164599999</v>
      </c>
      <c r="X49" s="5">
        <v>0</v>
      </c>
      <c r="Y49" s="5">
        <v>-28.810531317999999</v>
      </c>
      <c r="Z49" s="5">
        <v>0</v>
      </c>
      <c r="AA49" s="95">
        <v>0</v>
      </c>
      <c r="AB49" s="95">
        <v>-13645.387275474</v>
      </c>
      <c r="AC49" s="5">
        <v>-14155.977646064001</v>
      </c>
    </row>
    <row r="50" spans="1:29" x14ac:dyDescent="0.25">
      <c r="A50" s="4">
        <v>45</v>
      </c>
      <c r="B50" s="3" t="s">
        <v>179</v>
      </c>
      <c r="C50" s="7">
        <v>-154.715</v>
      </c>
      <c r="D50" s="95">
        <v>-4598.1352999999999</v>
      </c>
      <c r="E50" s="95">
        <v>339.25400000000002</v>
      </c>
      <c r="F50" s="95">
        <v>16013.263499999999</v>
      </c>
      <c r="H50" s="4">
        <v>45</v>
      </c>
      <c r="I50" s="3" t="s">
        <v>179</v>
      </c>
      <c r="J50" s="95">
        <v>5736.1999993079999</v>
      </c>
      <c r="K50" s="95">
        <v>43.126745122999999</v>
      </c>
      <c r="L50" s="7">
        <v>5676.4897773169996</v>
      </c>
      <c r="M50" s="7">
        <v>579.59430844999997</v>
      </c>
      <c r="N50" s="5">
        <v>-39.939572998999999</v>
      </c>
      <c r="O50" s="74">
        <v>0.10210435166571302</v>
      </c>
      <c r="P50" s="5">
        <v>315339.70209113898</v>
      </c>
      <c r="Q50" s="5">
        <v>0</v>
      </c>
      <c r="R50" s="5">
        <v>0</v>
      </c>
      <c r="S50" s="5">
        <v>0</v>
      </c>
      <c r="T50" s="5">
        <v>0</v>
      </c>
      <c r="U50" s="74">
        <v>0</v>
      </c>
      <c r="V50" s="5">
        <v>0</v>
      </c>
      <c r="W50" s="5">
        <v>-126.77185994200001</v>
      </c>
      <c r="X50" s="5">
        <v>0</v>
      </c>
      <c r="Y50" s="5">
        <v>-54.033761918000003</v>
      </c>
      <c r="Z50" s="5">
        <v>0</v>
      </c>
      <c r="AA50" s="95">
        <v>0</v>
      </c>
      <c r="AB50" s="95">
        <v>-14408.434400376</v>
      </c>
      <c r="AC50" s="5">
        <v>-14728.248426439999</v>
      </c>
    </row>
    <row r="51" spans="1:29" x14ac:dyDescent="0.25">
      <c r="A51" s="4">
        <v>46</v>
      </c>
      <c r="B51" s="3" t="s">
        <v>180</v>
      </c>
      <c r="C51" s="7">
        <v>-12.050700000000001</v>
      </c>
      <c r="D51" s="95">
        <v>-321.21109999999999</v>
      </c>
      <c r="E51" s="95">
        <v>54.7684</v>
      </c>
      <c r="F51" s="95">
        <v>1694.1577</v>
      </c>
      <c r="H51" s="4">
        <v>46</v>
      </c>
      <c r="I51" s="3" t="s">
        <v>180</v>
      </c>
      <c r="J51" s="95">
        <v>9324.1000006680006</v>
      </c>
      <c r="K51" s="95">
        <v>-258.04694644599999</v>
      </c>
      <c r="L51" s="7">
        <v>9350.7985919900002</v>
      </c>
      <c r="M51" s="7">
        <v>536.63804070100002</v>
      </c>
      <c r="N51" s="5">
        <v>11960.870299833001</v>
      </c>
      <c r="O51" s="74">
        <v>5.7389541162900272E-2</v>
      </c>
      <c r="P51" s="5">
        <v>495788.49083078699</v>
      </c>
      <c r="Q51" s="5">
        <v>0</v>
      </c>
      <c r="R51" s="5">
        <v>0</v>
      </c>
      <c r="S51" s="5">
        <v>0</v>
      </c>
      <c r="T51" s="5">
        <v>0</v>
      </c>
      <c r="U51" s="74">
        <v>0</v>
      </c>
      <c r="V51" s="5">
        <v>0</v>
      </c>
      <c r="W51" s="5">
        <v>-602.45636871500005</v>
      </c>
      <c r="X51" s="5">
        <v>0</v>
      </c>
      <c r="Y51" s="5">
        <v>-69.506337325000004</v>
      </c>
      <c r="Z51" s="5">
        <v>0</v>
      </c>
      <c r="AA51" s="95">
        <v>0</v>
      </c>
      <c r="AB51" s="95">
        <v>-20344.251463476001</v>
      </c>
      <c r="AC51" s="5">
        <v>-21028.9185693</v>
      </c>
    </row>
    <row r="52" spans="1:29" x14ac:dyDescent="0.25">
      <c r="A52" s="4">
        <v>47</v>
      </c>
      <c r="B52" s="3" t="s">
        <v>181</v>
      </c>
      <c r="C52" s="7">
        <v>-1.01E-2</v>
      </c>
      <c r="D52" s="95">
        <v>-0.34179999999999999</v>
      </c>
      <c r="E52" s="95">
        <v>3.9803000000000002</v>
      </c>
      <c r="F52" s="95">
        <v>137.87739999999999</v>
      </c>
      <c r="H52" s="4">
        <v>47</v>
      </c>
      <c r="I52" s="3" t="s">
        <v>181</v>
      </c>
      <c r="J52" s="95">
        <v>469.49999939999998</v>
      </c>
      <c r="K52" s="95">
        <v>25.498229268999999</v>
      </c>
      <c r="L52" s="7">
        <v>564.25422856399996</v>
      </c>
      <c r="M52" s="7">
        <v>82.970400326999993</v>
      </c>
      <c r="N52" s="5">
        <v>2607.0040710540002</v>
      </c>
      <c r="O52" s="74">
        <v>0.14704435718303024</v>
      </c>
      <c r="P52" s="5">
        <v>23511.818914602001</v>
      </c>
      <c r="Q52" s="5">
        <v>0</v>
      </c>
      <c r="R52" s="5">
        <v>0</v>
      </c>
      <c r="S52" s="5">
        <v>0</v>
      </c>
      <c r="T52" s="5">
        <v>0</v>
      </c>
      <c r="U52" s="74">
        <v>0</v>
      </c>
      <c r="V52" s="5">
        <v>0</v>
      </c>
      <c r="W52" s="5">
        <v>-1.077587595</v>
      </c>
      <c r="X52" s="5">
        <v>0</v>
      </c>
      <c r="Y52" s="5">
        <v>-1.690687217</v>
      </c>
      <c r="Z52" s="5">
        <v>0</v>
      </c>
      <c r="AA52" s="95">
        <v>0</v>
      </c>
      <c r="AB52" s="95">
        <v>0</v>
      </c>
      <c r="AC52" s="5">
        <v>-5.2054637340000003</v>
      </c>
    </row>
    <row r="53" spans="1:29" x14ac:dyDescent="0.25">
      <c r="A53" s="4">
        <v>48</v>
      </c>
      <c r="B53" s="3" t="s">
        <v>182</v>
      </c>
      <c r="C53" s="7">
        <v>-281.99520000000001</v>
      </c>
      <c r="D53" s="95">
        <v>-8793.4668000000001</v>
      </c>
      <c r="E53" s="95">
        <v>214.87960000000001</v>
      </c>
      <c r="F53" s="95">
        <v>5556.5187999999998</v>
      </c>
      <c r="H53" s="4">
        <v>48</v>
      </c>
      <c r="I53" s="3" t="s">
        <v>182</v>
      </c>
      <c r="J53" s="95">
        <v>5719.3999990920001</v>
      </c>
      <c r="K53" s="95">
        <v>-48.961879080000003</v>
      </c>
      <c r="L53" s="7">
        <v>5267.9024554970001</v>
      </c>
      <c r="M53" s="7">
        <v>783.50811138899996</v>
      </c>
      <c r="N53" s="5">
        <v>-11231.291731101001</v>
      </c>
      <c r="O53" s="74">
        <v>0.14873246382370228</v>
      </c>
      <c r="P53" s="5">
        <v>297953.59799522301</v>
      </c>
      <c r="Q53" s="5">
        <v>0</v>
      </c>
      <c r="R53" s="5">
        <v>0</v>
      </c>
      <c r="S53" s="5">
        <v>0</v>
      </c>
      <c r="T53" s="5">
        <v>0</v>
      </c>
      <c r="U53" s="74">
        <v>0</v>
      </c>
      <c r="V53" s="5">
        <v>0</v>
      </c>
      <c r="W53" s="5">
        <v>-64.565266445999995</v>
      </c>
      <c r="X53" s="5">
        <v>0</v>
      </c>
      <c r="Y53" s="5">
        <v>-258.86964780800002</v>
      </c>
      <c r="Z53" s="5">
        <v>0</v>
      </c>
      <c r="AA53" s="95">
        <v>0</v>
      </c>
      <c r="AB53" s="95">
        <v>0</v>
      </c>
      <c r="AC53" s="5">
        <v>-408.23800769899998</v>
      </c>
    </row>
    <row r="54" spans="1:29" x14ac:dyDescent="0.25">
      <c r="A54" s="4">
        <v>49</v>
      </c>
      <c r="B54" s="3" t="s">
        <v>183</v>
      </c>
      <c r="C54" s="7">
        <v>-0.77110000000000001</v>
      </c>
      <c r="D54" s="95">
        <v>-27.301300000000001</v>
      </c>
      <c r="E54" s="95">
        <v>39.945099999999996</v>
      </c>
      <c r="F54" s="95">
        <v>1177.8995</v>
      </c>
      <c r="H54" s="4">
        <v>49</v>
      </c>
      <c r="I54" s="3" t="s">
        <v>183</v>
      </c>
      <c r="J54" s="95">
        <v>1376.88</v>
      </c>
      <c r="K54" s="95">
        <v>-58.024271083999999</v>
      </c>
      <c r="L54" s="7">
        <v>1327.256679354</v>
      </c>
      <c r="M54" s="7">
        <v>83.133585608000004</v>
      </c>
      <c r="N54" s="5">
        <v>-65.572241133000006</v>
      </c>
      <c r="O54" s="74">
        <v>6.2635650587543196E-2</v>
      </c>
      <c r="P54" s="5">
        <v>44870.449339245002</v>
      </c>
      <c r="Q54" s="5">
        <v>0</v>
      </c>
      <c r="R54" s="5">
        <v>0</v>
      </c>
      <c r="S54" s="5">
        <v>0</v>
      </c>
      <c r="T54" s="5">
        <v>0</v>
      </c>
      <c r="U54" s="74">
        <v>0</v>
      </c>
      <c r="V54" s="5">
        <v>0</v>
      </c>
      <c r="W54" s="5">
        <v>-0.24358743599999999</v>
      </c>
      <c r="X54" s="5">
        <v>0</v>
      </c>
      <c r="Y54" s="5">
        <v>-6.5571281849999998</v>
      </c>
      <c r="Z54" s="5">
        <v>0</v>
      </c>
      <c r="AA54" s="95">
        <v>0</v>
      </c>
      <c r="AB54" s="95">
        <v>-1233.1542943679999</v>
      </c>
      <c r="AC54" s="5">
        <v>-1254.3625554759999</v>
      </c>
    </row>
    <row r="55" spans="1:29" x14ac:dyDescent="0.25">
      <c r="A55" s="4">
        <v>50</v>
      </c>
      <c r="B55" s="3" t="s">
        <v>184</v>
      </c>
      <c r="C55" s="7">
        <v>-8.4175000000000004</v>
      </c>
      <c r="D55" s="95">
        <v>-382.82760000000002</v>
      </c>
      <c r="E55" s="95">
        <v>2.9693999999999998</v>
      </c>
      <c r="F55" s="95">
        <v>115.17</v>
      </c>
      <c r="H55" s="4">
        <v>50</v>
      </c>
      <c r="I55" s="3" t="s">
        <v>184</v>
      </c>
      <c r="J55" s="95">
        <v>2452.5500000520001</v>
      </c>
      <c r="K55" s="95">
        <v>21.615000383000002</v>
      </c>
      <c r="L55" s="7">
        <v>2497.231053905</v>
      </c>
      <c r="M55" s="7">
        <v>245.148445455</v>
      </c>
      <c r="N55" s="5">
        <v>-593.31288241499999</v>
      </c>
      <c r="O55" s="74">
        <v>9.8168107060679688E-2</v>
      </c>
      <c r="P55" s="5">
        <v>85877.218053168006</v>
      </c>
      <c r="Q55" s="5">
        <v>0</v>
      </c>
      <c r="R55" s="5">
        <v>0</v>
      </c>
      <c r="S55" s="5">
        <v>0</v>
      </c>
      <c r="T55" s="5">
        <v>0</v>
      </c>
      <c r="U55" s="74">
        <v>0</v>
      </c>
      <c r="V55" s="5">
        <v>0</v>
      </c>
      <c r="W55" s="5">
        <v>-1.551151811</v>
      </c>
      <c r="X55" s="5">
        <v>0</v>
      </c>
      <c r="Y55" s="5">
        <v>-28.06857029</v>
      </c>
      <c r="Z55" s="5">
        <v>0</v>
      </c>
      <c r="AA55" s="95">
        <v>0</v>
      </c>
      <c r="AB55" s="95">
        <v>0</v>
      </c>
      <c r="AC55" s="5">
        <v>-66.203545653000006</v>
      </c>
    </row>
    <row r="56" spans="1:29" x14ac:dyDescent="0.25">
      <c r="A56" s="4">
        <v>51</v>
      </c>
      <c r="B56" s="3" t="s">
        <v>185</v>
      </c>
      <c r="C56" s="7">
        <v>-3.1067999999999998</v>
      </c>
      <c r="D56" s="95">
        <v>-118.54770000000001</v>
      </c>
      <c r="E56" s="95">
        <v>0</v>
      </c>
      <c r="F56" s="95">
        <v>0</v>
      </c>
      <c r="H56" s="4">
        <v>51</v>
      </c>
      <c r="I56" s="3" t="s">
        <v>185</v>
      </c>
      <c r="J56" s="95">
        <v>0</v>
      </c>
      <c r="K56" s="95">
        <v>0</v>
      </c>
      <c r="L56" s="7">
        <v>-3.1067840000000002</v>
      </c>
      <c r="M56" s="7">
        <v>3.1067840000000002</v>
      </c>
      <c r="N56" s="5">
        <v>-118.547722804</v>
      </c>
      <c r="O56" s="74">
        <v>-1</v>
      </c>
      <c r="P56" s="5">
        <v>-118.547722804</v>
      </c>
      <c r="Q56" s="5">
        <v>0</v>
      </c>
      <c r="R56" s="5">
        <v>0</v>
      </c>
      <c r="S56" s="5">
        <v>0</v>
      </c>
      <c r="T56" s="5">
        <v>0</v>
      </c>
      <c r="U56" s="74">
        <v>0</v>
      </c>
      <c r="V56" s="5">
        <v>0</v>
      </c>
      <c r="W56" s="5">
        <v>0</v>
      </c>
      <c r="X56" s="5">
        <v>0</v>
      </c>
      <c r="Y56" s="5">
        <v>-0.57197415600000001</v>
      </c>
      <c r="Z56" s="5">
        <v>0</v>
      </c>
      <c r="AA56" s="95">
        <v>0</v>
      </c>
      <c r="AB56" s="95">
        <v>0</v>
      </c>
      <c r="AC56" s="5">
        <v>-1.787959458</v>
      </c>
    </row>
    <row r="57" spans="1:29" x14ac:dyDescent="0.25">
      <c r="A57" s="4">
        <v>52</v>
      </c>
      <c r="B57" s="3" t="s">
        <v>186</v>
      </c>
      <c r="C57" s="7">
        <v>-28.8278</v>
      </c>
      <c r="D57" s="95">
        <v>-1107.3931</v>
      </c>
      <c r="E57" s="95">
        <v>0</v>
      </c>
      <c r="F57" s="95">
        <v>0</v>
      </c>
      <c r="H57" s="4">
        <v>52</v>
      </c>
      <c r="I57" s="3" t="s">
        <v>186</v>
      </c>
      <c r="J57" s="95">
        <v>0</v>
      </c>
      <c r="K57" s="95">
        <v>0</v>
      </c>
      <c r="L57" s="7">
        <v>-28.827788055999999</v>
      </c>
      <c r="M57" s="7">
        <v>28.827788055999999</v>
      </c>
      <c r="N57" s="5">
        <v>-1107.3930676320001</v>
      </c>
      <c r="O57" s="74">
        <v>-1</v>
      </c>
      <c r="P57" s="5">
        <v>-1107.3930676320001</v>
      </c>
      <c r="Q57" s="5">
        <v>0</v>
      </c>
      <c r="R57" s="5">
        <v>0</v>
      </c>
      <c r="S57" s="5">
        <v>0</v>
      </c>
      <c r="T57" s="5">
        <v>0</v>
      </c>
      <c r="U57" s="74">
        <v>0</v>
      </c>
      <c r="V57" s="5">
        <v>0</v>
      </c>
      <c r="W57" s="5">
        <v>0</v>
      </c>
      <c r="X57" s="5">
        <v>0</v>
      </c>
      <c r="Y57" s="5">
        <v>-7.2203964239999996</v>
      </c>
      <c r="Z57" s="5">
        <v>0</v>
      </c>
      <c r="AA57" s="95">
        <v>0</v>
      </c>
      <c r="AB57" s="95">
        <v>0</v>
      </c>
      <c r="AC57" s="5">
        <v>-17.116996861000001</v>
      </c>
    </row>
    <row r="58" spans="1:29" x14ac:dyDescent="0.25">
      <c r="A58" s="4">
        <v>53</v>
      </c>
      <c r="B58" s="3" t="s">
        <v>187</v>
      </c>
      <c r="C58" s="7">
        <v>-7.8700000000000006E-2</v>
      </c>
      <c r="D58" s="95">
        <v>-2.052</v>
      </c>
      <c r="E58" s="95">
        <v>27.791899999999998</v>
      </c>
      <c r="F58" s="95">
        <v>523.26179999999999</v>
      </c>
      <c r="H58" s="4">
        <v>53</v>
      </c>
      <c r="I58" s="3" t="s">
        <v>187</v>
      </c>
      <c r="J58" s="95">
        <v>2323.5900000840002</v>
      </c>
      <c r="K58" s="95">
        <v>-211.53314723899999</v>
      </c>
      <c r="L58" s="7">
        <v>2079.4186022459999</v>
      </c>
      <c r="M58" s="7">
        <v>534.09374771299997</v>
      </c>
      <c r="N58" s="5">
        <v>-4670.0790238990003</v>
      </c>
      <c r="O58" s="74">
        <v>0.25684763382231945</v>
      </c>
      <c r="P58" s="5">
        <v>71272.615506602</v>
      </c>
      <c r="Q58" s="5">
        <v>0</v>
      </c>
      <c r="R58" s="5">
        <v>0</v>
      </c>
      <c r="S58" s="5">
        <v>0</v>
      </c>
      <c r="T58" s="5">
        <v>0</v>
      </c>
      <c r="U58" s="74">
        <v>0</v>
      </c>
      <c r="V58" s="5">
        <v>0</v>
      </c>
      <c r="W58" s="5">
        <v>58.482387932999998</v>
      </c>
      <c r="X58" s="5">
        <v>0</v>
      </c>
      <c r="Y58" s="5">
        <v>-86.447382446000006</v>
      </c>
      <c r="Z58" s="5">
        <v>0</v>
      </c>
      <c r="AA58" s="95">
        <v>0</v>
      </c>
      <c r="AB58" s="95">
        <v>0</v>
      </c>
      <c r="AC58" s="5">
        <v>-106.74963294600001</v>
      </c>
    </row>
    <row r="59" spans="1:29" x14ac:dyDescent="0.25">
      <c r="A59" s="4">
        <v>54</v>
      </c>
      <c r="B59" s="3" t="s">
        <v>188</v>
      </c>
      <c r="C59" s="7">
        <v>0</v>
      </c>
      <c r="D59" s="95">
        <v>0</v>
      </c>
      <c r="E59" s="95">
        <v>-5.8500000000000003E-2</v>
      </c>
      <c r="F59" s="95">
        <v>-1.7424999999999999</v>
      </c>
      <c r="H59" s="4">
        <v>54</v>
      </c>
      <c r="I59" s="3" t="s">
        <v>188</v>
      </c>
      <c r="J59" s="95">
        <v>3251.940002544</v>
      </c>
      <c r="K59" s="95">
        <v>-175.46446234800001</v>
      </c>
      <c r="L59" s="7">
        <v>3107.0899957689999</v>
      </c>
      <c r="M59" s="7">
        <v>188.642116703</v>
      </c>
      <c r="N59" s="5">
        <v>974.94148338000002</v>
      </c>
      <c r="O59" s="74">
        <v>6.0713438284658174E-2</v>
      </c>
      <c r="P59" s="5">
        <v>124913.90209869501</v>
      </c>
      <c r="Q59" s="5">
        <v>0</v>
      </c>
      <c r="R59" s="5">
        <v>0</v>
      </c>
      <c r="S59" s="5">
        <v>0</v>
      </c>
      <c r="T59" s="5">
        <v>0</v>
      </c>
      <c r="U59" s="74">
        <v>0</v>
      </c>
      <c r="V59" s="5">
        <v>0</v>
      </c>
      <c r="W59" s="5">
        <v>-2.0038500000000002E-3</v>
      </c>
      <c r="X59" s="5">
        <v>0</v>
      </c>
      <c r="Y59" s="5">
        <v>-25.724696778999999</v>
      </c>
      <c r="Z59" s="5">
        <v>0</v>
      </c>
      <c r="AA59" s="95">
        <v>0</v>
      </c>
      <c r="AB59" s="95">
        <v>-17027.641500180001</v>
      </c>
      <c r="AC59" s="5">
        <v>-17076.073353350999</v>
      </c>
    </row>
    <row r="60" spans="1:29" x14ac:dyDescent="0.25">
      <c r="A60" s="4">
        <v>55</v>
      </c>
      <c r="B60" s="3" t="s">
        <v>189</v>
      </c>
      <c r="C60" s="7">
        <v>0</v>
      </c>
      <c r="D60" s="95">
        <v>0</v>
      </c>
      <c r="E60" s="95">
        <v>972.9701</v>
      </c>
      <c r="F60" s="95">
        <v>34632.321600000003</v>
      </c>
      <c r="H60" s="4">
        <v>55</v>
      </c>
      <c r="I60" s="3" t="s">
        <v>189</v>
      </c>
      <c r="J60" s="95">
        <v>10856.600000820001</v>
      </c>
      <c r="K60" s="95">
        <v>1580.4179756000001</v>
      </c>
      <c r="L60" s="7">
        <v>12494.816187531</v>
      </c>
      <c r="M60" s="7">
        <v>340.46438016399998</v>
      </c>
      <c r="N60" s="5">
        <v>405.70616365000001</v>
      </c>
      <c r="O60" s="74">
        <v>2.724845048170944E-2</v>
      </c>
      <c r="P60" s="5">
        <v>586151.381275967</v>
      </c>
      <c r="Q60" s="5">
        <v>0</v>
      </c>
      <c r="R60" s="5">
        <v>0</v>
      </c>
      <c r="S60" s="5">
        <v>0</v>
      </c>
      <c r="T60" s="5">
        <v>0</v>
      </c>
      <c r="U60" s="74">
        <v>0</v>
      </c>
      <c r="V60" s="5">
        <v>0</v>
      </c>
      <c r="W60" s="5">
        <v>-40.917471188999997</v>
      </c>
      <c r="X60" s="5">
        <v>0</v>
      </c>
      <c r="Y60" s="5">
        <v>-40.769437646999997</v>
      </c>
      <c r="Z60" s="5">
        <v>0</v>
      </c>
      <c r="AA60" s="95">
        <v>0</v>
      </c>
      <c r="AB60" s="95">
        <v>-4135.5355291919996</v>
      </c>
      <c r="AC60" s="5">
        <v>-4255.3246507100002</v>
      </c>
    </row>
    <row r="61" spans="1:29" x14ac:dyDescent="0.25">
      <c r="A61" s="4">
        <v>56</v>
      </c>
      <c r="B61" s="3" t="s">
        <v>190</v>
      </c>
      <c r="C61" s="7">
        <v>0</v>
      </c>
      <c r="D61" s="95">
        <v>0</v>
      </c>
      <c r="E61" s="95">
        <v>0</v>
      </c>
      <c r="F61" s="95">
        <v>0</v>
      </c>
      <c r="H61" s="4">
        <v>56</v>
      </c>
      <c r="I61" s="3" t="s">
        <v>190</v>
      </c>
      <c r="J61" s="95">
        <v>7551.9700022039997</v>
      </c>
      <c r="K61" s="95">
        <v>-23.439519465</v>
      </c>
      <c r="L61" s="7">
        <v>7534.3531359409999</v>
      </c>
      <c r="M61" s="7">
        <v>144.467156512</v>
      </c>
      <c r="N61" s="5">
        <v>-410.09059405699998</v>
      </c>
      <c r="O61" s="74">
        <v>1.9174460488565463E-2</v>
      </c>
      <c r="P61" s="5">
        <v>352021.02307768498</v>
      </c>
      <c r="Q61" s="5">
        <v>0</v>
      </c>
      <c r="R61" s="5">
        <v>0</v>
      </c>
      <c r="S61" s="5">
        <v>0</v>
      </c>
      <c r="T61" s="5">
        <v>0</v>
      </c>
      <c r="U61" s="74">
        <v>0</v>
      </c>
      <c r="V61" s="5">
        <v>0</v>
      </c>
      <c r="W61" s="5">
        <v>-204.08854281500001</v>
      </c>
      <c r="X61" s="5">
        <v>0</v>
      </c>
      <c r="Y61" s="5">
        <v>-20.292198192000001</v>
      </c>
      <c r="Z61" s="5">
        <v>0</v>
      </c>
      <c r="AA61" s="95">
        <v>0</v>
      </c>
      <c r="AB61" s="95">
        <v>-1367.8151058240001</v>
      </c>
      <c r="AC61" s="5">
        <v>-1611.966387358</v>
      </c>
    </row>
    <row r="62" spans="1:29" x14ac:dyDescent="0.25">
      <c r="A62" s="4">
        <v>57</v>
      </c>
      <c r="B62" s="3" t="s">
        <v>191</v>
      </c>
      <c r="C62" s="7">
        <v>0</v>
      </c>
      <c r="D62" s="95">
        <v>0</v>
      </c>
      <c r="E62" s="95">
        <v>0</v>
      </c>
      <c r="F62" s="95">
        <v>0</v>
      </c>
      <c r="H62" s="4">
        <v>57</v>
      </c>
      <c r="I62" s="3" t="s">
        <v>191</v>
      </c>
      <c r="J62" s="95">
        <v>30010.400000411999</v>
      </c>
      <c r="K62" s="95">
        <v>-1375.667024678</v>
      </c>
      <c r="L62" s="7">
        <v>29097.090046714999</v>
      </c>
      <c r="M62" s="7">
        <v>1500.7145837969999</v>
      </c>
      <c r="N62" s="5">
        <v>27096.013673369998</v>
      </c>
      <c r="O62" s="74">
        <v>5.1576105424550094E-2</v>
      </c>
      <c r="P62" s="5">
        <v>1596016.1096417999</v>
      </c>
      <c r="Q62" s="5">
        <v>0</v>
      </c>
      <c r="R62" s="5">
        <v>0</v>
      </c>
      <c r="S62" s="5">
        <v>0</v>
      </c>
      <c r="T62" s="5">
        <v>0</v>
      </c>
      <c r="U62" s="74">
        <v>0</v>
      </c>
      <c r="V62" s="5">
        <v>0</v>
      </c>
      <c r="W62" s="5">
        <v>-3833.2931674689999</v>
      </c>
      <c r="X62" s="5">
        <v>791.322181419</v>
      </c>
      <c r="Y62" s="5">
        <v>-202.08700257800001</v>
      </c>
      <c r="Z62" s="5">
        <v>0</v>
      </c>
      <c r="AA62" s="95">
        <v>0</v>
      </c>
      <c r="AB62" s="95">
        <v>-23549.509779294</v>
      </c>
      <c r="AC62" s="5">
        <v>-26894.038483122</v>
      </c>
    </row>
    <row r="63" spans="1:29" x14ac:dyDescent="0.25">
      <c r="A63" s="4">
        <v>58</v>
      </c>
      <c r="B63" s="3" t="s">
        <v>192</v>
      </c>
      <c r="C63" s="7">
        <v>-3.9E-2</v>
      </c>
      <c r="D63" s="95">
        <v>-3.5381999999999998</v>
      </c>
      <c r="E63" s="95">
        <v>4.58E-2</v>
      </c>
      <c r="F63" s="95">
        <v>1.7357</v>
      </c>
      <c r="H63" s="4">
        <v>58</v>
      </c>
      <c r="I63" s="3" t="s">
        <v>192</v>
      </c>
      <c r="J63" s="95">
        <v>809.68000004400005</v>
      </c>
      <c r="K63" s="95">
        <v>-62.198854214000001</v>
      </c>
      <c r="L63" s="7">
        <v>743.89626547800003</v>
      </c>
      <c r="M63" s="7">
        <v>59.059393237999998</v>
      </c>
      <c r="N63" s="5">
        <v>-2305.3433474160001</v>
      </c>
      <c r="O63" s="74">
        <v>7.939197436359037E-2</v>
      </c>
      <c r="P63" s="5">
        <v>21577.932378722999</v>
      </c>
      <c r="Q63" s="5">
        <v>0</v>
      </c>
      <c r="R63" s="5">
        <v>0</v>
      </c>
      <c r="S63" s="5">
        <v>0</v>
      </c>
      <c r="T63" s="5">
        <v>0</v>
      </c>
      <c r="U63" s="74">
        <v>0</v>
      </c>
      <c r="V63" s="5">
        <v>0</v>
      </c>
      <c r="W63" s="5">
        <v>-2.184299357</v>
      </c>
      <c r="X63" s="5">
        <v>0</v>
      </c>
      <c r="Y63" s="5">
        <v>2.968555775</v>
      </c>
      <c r="Z63" s="5">
        <v>0</v>
      </c>
      <c r="AA63" s="95">
        <v>0</v>
      </c>
      <c r="AB63" s="95">
        <v>-2555.5500189300001</v>
      </c>
      <c r="AC63" s="5">
        <v>-2578.2545618250001</v>
      </c>
    </row>
    <row r="64" spans="1:29" x14ac:dyDescent="0.25">
      <c r="A64" s="4">
        <v>59</v>
      </c>
      <c r="B64" s="3" t="s">
        <v>193</v>
      </c>
      <c r="C64" s="7">
        <v>0</v>
      </c>
      <c r="D64" s="95">
        <v>0</v>
      </c>
      <c r="E64" s="95">
        <v>6.2945000000000002</v>
      </c>
      <c r="F64" s="95">
        <v>168.5318</v>
      </c>
      <c r="H64" s="4">
        <v>59</v>
      </c>
      <c r="I64" s="3" t="s">
        <v>193</v>
      </c>
      <c r="J64" s="95">
        <v>29770.910001635999</v>
      </c>
      <c r="K64" s="95">
        <v>-1610.1628658510001</v>
      </c>
      <c r="L64" s="7">
        <v>28170.653999999999</v>
      </c>
      <c r="M64" s="7">
        <v>519.52253752900003</v>
      </c>
      <c r="N64" s="5">
        <v>-3887.5099744200002</v>
      </c>
      <c r="O64" s="74">
        <v>1.8441976445736762E-2</v>
      </c>
      <c r="P64" s="5">
        <v>1101300.72874383</v>
      </c>
      <c r="Q64" s="5">
        <v>2856.7053592500001</v>
      </c>
      <c r="R64" s="5">
        <v>8.6253750000000004E-2</v>
      </c>
      <c r="S64" s="5">
        <v>20126.086255800001</v>
      </c>
      <c r="T64" s="5">
        <v>18846.521808649999</v>
      </c>
      <c r="U64" s="74">
        <v>7.7610809464787128E-2</v>
      </c>
      <c r="V64" s="5">
        <v>-3246.4135683929999</v>
      </c>
      <c r="W64" s="5">
        <v>-2330.0819348280002</v>
      </c>
      <c r="X64" s="5">
        <v>2429.149343478</v>
      </c>
      <c r="Y64" s="5">
        <v>-13.761600098000001</v>
      </c>
      <c r="Z64" s="5">
        <v>0</v>
      </c>
      <c r="AA64" s="95">
        <v>0</v>
      </c>
      <c r="AB64" s="95">
        <v>-52023.125331023999</v>
      </c>
      <c r="AC64" s="5">
        <v>-12909.405114835999</v>
      </c>
    </row>
    <row r="65" spans="1:29" x14ac:dyDescent="0.25">
      <c r="A65" s="4">
        <v>60</v>
      </c>
      <c r="B65" s="3" t="s">
        <v>194</v>
      </c>
      <c r="C65" s="7">
        <v>-1.6157999999999999</v>
      </c>
      <c r="D65" s="95">
        <v>-60.822699999999998</v>
      </c>
      <c r="E65" s="95">
        <v>18.8066</v>
      </c>
      <c r="F65" s="95">
        <v>1000.6218</v>
      </c>
      <c r="H65" s="4">
        <v>60</v>
      </c>
      <c r="I65" s="3" t="s">
        <v>194</v>
      </c>
      <c r="J65" s="95">
        <v>168.3</v>
      </c>
      <c r="K65" s="95">
        <v>33.356333544000002</v>
      </c>
      <c r="L65" s="7">
        <v>242.05750530899999</v>
      </c>
      <c r="M65" s="7">
        <v>84.431725835999998</v>
      </c>
      <c r="N65" s="5">
        <v>2275.3024725969999</v>
      </c>
      <c r="O65" s="74">
        <v>0.34880854335922434</v>
      </c>
      <c r="P65" s="5">
        <v>9917.303509333</v>
      </c>
      <c r="Q65" s="5">
        <v>0</v>
      </c>
      <c r="R65" s="5">
        <v>0</v>
      </c>
      <c r="S65" s="5">
        <v>0</v>
      </c>
      <c r="T65" s="5">
        <v>0</v>
      </c>
      <c r="U65" s="74">
        <v>0</v>
      </c>
      <c r="V65" s="5">
        <v>0</v>
      </c>
      <c r="W65" s="5">
        <v>-0.339504741</v>
      </c>
      <c r="X65" s="5">
        <v>0</v>
      </c>
      <c r="Y65" s="5">
        <v>-0.326876218</v>
      </c>
      <c r="Z65" s="5">
        <v>0</v>
      </c>
      <c r="AA65" s="95">
        <v>0</v>
      </c>
      <c r="AB65" s="95">
        <v>0</v>
      </c>
      <c r="AC65" s="5">
        <v>-13.929261460999999</v>
      </c>
    </row>
    <row r="66" spans="1:29" x14ac:dyDescent="0.25">
      <c r="A66" s="4">
        <v>61</v>
      </c>
      <c r="B66" s="3" t="s">
        <v>195</v>
      </c>
      <c r="C66" s="7">
        <v>0</v>
      </c>
      <c r="D66" s="95">
        <v>0</v>
      </c>
      <c r="E66" s="95">
        <v>0</v>
      </c>
      <c r="F66" s="95">
        <v>0</v>
      </c>
      <c r="H66" s="4">
        <v>61</v>
      </c>
      <c r="I66" s="3" t="s">
        <v>195</v>
      </c>
      <c r="J66" s="95">
        <v>0</v>
      </c>
      <c r="K66" s="95">
        <v>0</v>
      </c>
      <c r="L66" s="7">
        <v>0</v>
      </c>
      <c r="M66" s="7">
        <v>0</v>
      </c>
      <c r="N66" s="5">
        <v>0</v>
      </c>
      <c r="O66" s="74">
        <v>0</v>
      </c>
      <c r="P66" s="5">
        <v>0</v>
      </c>
      <c r="Q66" s="5">
        <v>0</v>
      </c>
      <c r="R66" s="5">
        <v>0</v>
      </c>
      <c r="S66" s="5">
        <v>0</v>
      </c>
      <c r="T66" s="5">
        <v>0</v>
      </c>
      <c r="U66" s="74">
        <v>0</v>
      </c>
      <c r="V66" s="5">
        <v>0</v>
      </c>
      <c r="W66" s="5">
        <v>0</v>
      </c>
      <c r="X66" s="5">
        <v>0</v>
      </c>
      <c r="Y66" s="5">
        <v>0</v>
      </c>
      <c r="Z66" s="5">
        <v>0</v>
      </c>
      <c r="AA66" s="95">
        <v>0</v>
      </c>
      <c r="AB66" s="95">
        <v>0</v>
      </c>
      <c r="AC66" s="5">
        <v>0</v>
      </c>
    </row>
    <row r="67" spans="1:29" x14ac:dyDescent="0.25">
      <c r="A67" s="3" t="s">
        <v>196</v>
      </c>
      <c r="B67"/>
      <c r="C67" s="7">
        <v>-1.1848000000000001</v>
      </c>
      <c r="D67" s="95">
        <v>-49.036999999999999</v>
      </c>
      <c r="E67" s="95">
        <v>1435.2046</v>
      </c>
      <c r="F67" s="95">
        <v>45772.156500000005</v>
      </c>
      <c r="H67" s="3" t="s">
        <v>196</v>
      </c>
      <c r="J67" s="95">
        <v>138941.46000155999</v>
      </c>
      <c r="K67" s="95">
        <v>-3632.0109063499999</v>
      </c>
      <c r="L67" s="7">
        <v>134749.204081273</v>
      </c>
      <c r="M67" s="7">
        <v>8051.1220780680005</v>
      </c>
      <c r="N67" s="5">
        <v>-36247.099958356994</v>
      </c>
      <c r="O67" s="74">
        <v>5.9748939765254756E-2</v>
      </c>
      <c r="P67" s="5">
        <v>6834991.2120541371</v>
      </c>
      <c r="Q67" s="5">
        <v>266979.55660164997</v>
      </c>
      <c r="R67" s="5">
        <v>91025.234829999987</v>
      </c>
      <c r="S67" s="5">
        <v>56072.918507599999</v>
      </c>
      <c r="T67" s="5">
        <v>31085.682415374999</v>
      </c>
      <c r="U67" s="74">
        <v>4.5095898710120957E-2</v>
      </c>
      <c r="V67" s="5">
        <v>-20075.043251078001</v>
      </c>
      <c r="W67" s="5">
        <v>-10505.477402579003</v>
      </c>
      <c r="X67" s="5">
        <v>43154.277014907006</v>
      </c>
      <c r="Y67" s="5">
        <v>-1248.6938518000002</v>
      </c>
      <c r="Z67" s="5">
        <v>0</v>
      </c>
      <c r="AA67" s="95">
        <v>0</v>
      </c>
      <c r="AB67" s="95">
        <v>-174302.68741905599</v>
      </c>
      <c r="AC67" s="5">
        <v>281156.75432175101</v>
      </c>
    </row>
    <row r="68" spans="1:29" x14ac:dyDescent="0.25">
      <c r="A68" s="4">
        <v>62</v>
      </c>
      <c r="B68" s="3" t="s">
        <v>197</v>
      </c>
      <c r="C68" s="7">
        <v>-0.39860000000000001</v>
      </c>
      <c r="D68" s="95">
        <v>-11.672499999999999</v>
      </c>
      <c r="E68" s="95">
        <v>-11.709300000000001</v>
      </c>
      <c r="F68" s="95">
        <v>-6470.9621999999999</v>
      </c>
      <c r="H68" s="4">
        <v>62</v>
      </c>
      <c r="I68" s="3" t="s">
        <v>197</v>
      </c>
      <c r="J68" s="95">
        <v>37668.950002536003</v>
      </c>
      <c r="K68" s="95">
        <v>1635.8570803069999</v>
      </c>
      <c r="L68" s="7">
        <v>39021.113666158002</v>
      </c>
      <c r="M68" s="7">
        <v>1543.5543989170001</v>
      </c>
      <c r="N68" s="5">
        <v>-17574.002506312001</v>
      </c>
      <c r="O68" s="74">
        <v>3.9556902760970777E-2</v>
      </c>
      <c r="P68" s="5">
        <v>2238246.4006420001</v>
      </c>
      <c r="Q68" s="5">
        <v>80745.430366600005</v>
      </c>
      <c r="R68" s="5">
        <v>78091.569774999996</v>
      </c>
      <c r="S68" s="5">
        <v>0</v>
      </c>
      <c r="T68" s="5">
        <v>0</v>
      </c>
      <c r="U68" s="74">
        <v>4.7463248536859827E-3</v>
      </c>
      <c r="V68" s="5">
        <v>-753.89200145699999</v>
      </c>
      <c r="W68" s="5">
        <v>-4922.5775418220001</v>
      </c>
      <c r="X68" s="5">
        <v>29378.584643624999</v>
      </c>
      <c r="Y68" s="5">
        <v>-348.534840809</v>
      </c>
      <c r="Z68" s="5">
        <v>0</v>
      </c>
      <c r="AA68" s="95">
        <v>0</v>
      </c>
      <c r="AB68" s="95">
        <v>-38861.983012224002</v>
      </c>
      <c r="AC68" s="5">
        <v>143093.008377527</v>
      </c>
    </row>
    <row r="69" spans="1:29" x14ac:dyDescent="0.25">
      <c r="A69" s="4">
        <v>63</v>
      </c>
      <c r="B69" s="3" t="s">
        <v>198</v>
      </c>
      <c r="C69" s="7">
        <v>0</v>
      </c>
      <c r="D69" s="95">
        <v>0</v>
      </c>
      <c r="E69" s="95">
        <v>0</v>
      </c>
      <c r="F69" s="95">
        <v>0</v>
      </c>
      <c r="H69" s="4">
        <v>63</v>
      </c>
      <c r="I69" s="3" t="s">
        <v>198</v>
      </c>
      <c r="J69" s="95">
        <v>7562.329997844</v>
      </c>
      <c r="K69" s="95">
        <v>587.75140217700005</v>
      </c>
      <c r="L69" s="7">
        <v>7979.2367383950004</v>
      </c>
      <c r="M69" s="7">
        <v>731.707186933</v>
      </c>
      <c r="N69" s="5">
        <v>-17352.952651621999</v>
      </c>
      <c r="O69" s="74">
        <v>9.170140088864949E-2</v>
      </c>
      <c r="P69" s="5">
        <v>462733.05274121597</v>
      </c>
      <c r="Q69" s="5">
        <v>41349.004814699998</v>
      </c>
      <c r="R69" s="5">
        <v>0</v>
      </c>
      <c r="S69" s="5">
        <v>0</v>
      </c>
      <c r="T69" s="5">
        <v>0</v>
      </c>
      <c r="U69" s="74">
        <v>9.795852904735473E-3</v>
      </c>
      <c r="V69" s="5">
        <v>-405.04876892200002</v>
      </c>
      <c r="W69" s="5">
        <v>-1788.570661359</v>
      </c>
      <c r="X69" s="5">
        <v>8488.4198113359998</v>
      </c>
      <c r="Y69" s="5">
        <v>-18.879856806999999</v>
      </c>
      <c r="Z69" s="5">
        <v>0</v>
      </c>
      <c r="AA69" s="95">
        <v>0</v>
      </c>
      <c r="AB69" s="95">
        <v>-22875.553026972</v>
      </c>
      <c r="AC69" s="5">
        <v>24473.416033075999</v>
      </c>
    </row>
    <row r="70" spans="1:29" x14ac:dyDescent="0.25">
      <c r="A70" s="4">
        <v>64</v>
      </c>
      <c r="B70" s="3" t="s">
        <v>199</v>
      </c>
      <c r="C70" s="7">
        <v>0</v>
      </c>
      <c r="D70" s="95">
        <v>0</v>
      </c>
      <c r="E70" s="95">
        <v>6.0403000000000002</v>
      </c>
      <c r="F70" s="95">
        <v>738.58590000000004</v>
      </c>
      <c r="H70" s="4">
        <v>64</v>
      </c>
      <c r="I70" s="3" t="s">
        <v>199</v>
      </c>
      <c r="J70" s="95">
        <v>17223.650002091999</v>
      </c>
      <c r="K70" s="95">
        <v>-75.439788608000001</v>
      </c>
      <c r="L70" s="7">
        <v>17220.016257301999</v>
      </c>
      <c r="M70" s="7">
        <v>944.59208270299996</v>
      </c>
      <c r="N70" s="5">
        <v>3353.4657897249999</v>
      </c>
      <c r="O70" s="74">
        <v>5.4854308415792224E-2</v>
      </c>
      <c r="P70" s="5">
        <v>922205.78561723605</v>
      </c>
      <c r="Q70" s="5">
        <v>39307.490323799997</v>
      </c>
      <c r="R70" s="5">
        <v>7236.6191399999998</v>
      </c>
      <c r="S70" s="5">
        <v>0</v>
      </c>
      <c r="T70" s="5">
        <v>0</v>
      </c>
      <c r="U70" s="74">
        <v>3.6118467161252457E-2</v>
      </c>
      <c r="V70" s="5">
        <v>-1681.101889218</v>
      </c>
      <c r="W70" s="5">
        <v>-1883.929076007</v>
      </c>
      <c r="X70" s="5">
        <v>1190.578695382</v>
      </c>
      <c r="Y70" s="5">
        <v>-112.946249796</v>
      </c>
      <c r="Z70" s="5">
        <v>0</v>
      </c>
      <c r="AA70" s="95">
        <v>0</v>
      </c>
      <c r="AB70" s="95">
        <v>-38285.925382385998</v>
      </c>
      <c r="AC70" s="5">
        <v>5610.5279154549999</v>
      </c>
    </row>
    <row r="71" spans="1:29" x14ac:dyDescent="0.25">
      <c r="A71" s="4">
        <v>65</v>
      </c>
      <c r="B71" s="3" t="s">
        <v>200</v>
      </c>
      <c r="C71" s="7">
        <v>-0.1101</v>
      </c>
      <c r="D71" s="95">
        <v>-9.9039999999999999</v>
      </c>
      <c r="E71" s="95">
        <v>9.6509</v>
      </c>
      <c r="F71" s="95">
        <v>806.7115</v>
      </c>
      <c r="H71" s="4">
        <v>65</v>
      </c>
      <c r="I71" s="3" t="s">
        <v>200</v>
      </c>
      <c r="J71" s="95">
        <v>18686.130001752001</v>
      </c>
      <c r="K71" s="95">
        <v>150.23419574799999</v>
      </c>
      <c r="L71" s="7">
        <v>18562.354772819999</v>
      </c>
      <c r="M71" s="7">
        <v>1168.1773651569999</v>
      </c>
      <c r="N71" s="5">
        <v>-14887.269292309</v>
      </c>
      <c r="O71" s="74">
        <v>6.293260631283204E-2</v>
      </c>
      <c r="P71" s="5">
        <v>954037.76577792305</v>
      </c>
      <c r="Q71" s="5">
        <v>33951.926699099997</v>
      </c>
      <c r="R71" s="5">
        <v>5697.0459149999997</v>
      </c>
      <c r="S71" s="5">
        <v>0</v>
      </c>
      <c r="T71" s="5">
        <v>0</v>
      </c>
      <c r="U71" s="74">
        <v>3.0331349994736762E-2</v>
      </c>
      <c r="V71" s="5">
        <v>-1202.6068652900001</v>
      </c>
      <c r="W71" s="5">
        <v>-1525.2765904410001</v>
      </c>
      <c r="X71" s="5">
        <v>1195.8100267530001</v>
      </c>
      <c r="Y71" s="5">
        <v>-86.072307511000005</v>
      </c>
      <c r="Z71" s="5">
        <v>0</v>
      </c>
      <c r="AA71" s="95">
        <v>0</v>
      </c>
      <c r="AB71" s="95">
        <v>-40235.153131097999</v>
      </c>
      <c r="AC71" s="5">
        <v>-2580.120027127</v>
      </c>
    </row>
    <row r="72" spans="1:29" x14ac:dyDescent="0.25">
      <c r="A72" s="4">
        <v>66</v>
      </c>
      <c r="B72" s="3" t="s">
        <v>201</v>
      </c>
      <c r="C72" s="7">
        <v>0</v>
      </c>
      <c r="D72" s="95">
        <v>0</v>
      </c>
      <c r="E72" s="95">
        <v>0</v>
      </c>
      <c r="F72" s="95">
        <v>0</v>
      </c>
      <c r="H72" s="4">
        <v>66</v>
      </c>
      <c r="I72" s="3" t="s">
        <v>201</v>
      </c>
      <c r="J72" s="95">
        <v>12096.699997055999</v>
      </c>
      <c r="K72" s="95">
        <v>1156.908882937</v>
      </c>
      <c r="L72" s="7">
        <v>12272.404493975</v>
      </c>
      <c r="M72" s="7">
        <v>1605.232017</v>
      </c>
      <c r="N72" s="5">
        <v>-33566.303276589002</v>
      </c>
      <c r="O72" s="74">
        <v>0.13080012297411406</v>
      </c>
      <c r="P72" s="5">
        <v>729708.73410693905</v>
      </c>
      <c r="Q72" s="5">
        <v>71625.704397449997</v>
      </c>
      <c r="R72" s="5">
        <v>0</v>
      </c>
      <c r="S72" s="5">
        <v>0</v>
      </c>
      <c r="T72" s="5">
        <v>0</v>
      </c>
      <c r="U72" s="74">
        <v>4.6984550304175587E-2</v>
      </c>
      <c r="V72" s="5">
        <v>-3365.3015113340002</v>
      </c>
      <c r="W72" s="5">
        <v>-3049.246912611</v>
      </c>
      <c r="X72" s="5">
        <v>2900.8838378109999</v>
      </c>
      <c r="Y72" s="5">
        <v>-484.00092160499997</v>
      </c>
      <c r="Z72" s="5">
        <v>0</v>
      </c>
      <c r="AA72" s="95">
        <v>0</v>
      </c>
      <c r="AB72" s="95">
        <v>-34044.072866376002</v>
      </c>
      <c r="AC72" s="5">
        <v>33299.660911437997</v>
      </c>
    </row>
    <row r="73" spans="1:29" x14ac:dyDescent="0.25">
      <c r="A73" s="4">
        <v>67</v>
      </c>
      <c r="B73" s="3" t="s">
        <v>202</v>
      </c>
      <c r="C73" s="7">
        <v>-0.67610000000000003</v>
      </c>
      <c r="D73" s="95">
        <v>-27.4605</v>
      </c>
      <c r="E73" s="95">
        <v>6.3500000000000001E-2</v>
      </c>
      <c r="F73" s="95">
        <v>1.9765999999999999</v>
      </c>
      <c r="H73" s="4">
        <v>67</v>
      </c>
      <c r="I73" s="3" t="s">
        <v>202</v>
      </c>
      <c r="J73" s="95">
        <v>291.02000109599999</v>
      </c>
      <c r="K73" s="95">
        <v>12.395000052</v>
      </c>
      <c r="L73" s="7">
        <v>372.99548622399999</v>
      </c>
      <c r="M73" s="7">
        <v>109.57993455099999</v>
      </c>
      <c r="N73" s="5">
        <v>3113.2975469530002</v>
      </c>
      <c r="O73" s="74">
        <v>0.29378354054717026</v>
      </c>
      <c r="P73" s="5">
        <v>17696.620981181</v>
      </c>
      <c r="Q73" s="5">
        <v>0</v>
      </c>
      <c r="R73" s="5">
        <v>0</v>
      </c>
      <c r="S73" s="5">
        <v>0</v>
      </c>
      <c r="T73" s="5">
        <v>0</v>
      </c>
      <c r="U73" s="74">
        <v>0</v>
      </c>
      <c r="V73" s="5">
        <v>0</v>
      </c>
      <c r="W73" s="5">
        <v>-3.9084323570000001</v>
      </c>
      <c r="X73" s="5">
        <v>0</v>
      </c>
      <c r="Y73" s="5">
        <v>-4.5835039709999998</v>
      </c>
      <c r="Z73" s="5">
        <v>0</v>
      </c>
      <c r="AA73" s="95">
        <v>0</v>
      </c>
      <c r="AB73" s="95">
        <v>0</v>
      </c>
      <c r="AC73" s="5">
        <v>-15.905039052999999</v>
      </c>
    </row>
    <row r="74" spans="1:29" x14ac:dyDescent="0.25">
      <c r="A74" s="4">
        <v>68</v>
      </c>
      <c r="B74" s="3" t="s">
        <v>203</v>
      </c>
      <c r="C74" s="7">
        <v>0</v>
      </c>
      <c r="D74" s="95">
        <v>0</v>
      </c>
      <c r="E74" s="95">
        <v>20.462599999999998</v>
      </c>
      <c r="F74" s="95">
        <v>1925.7348</v>
      </c>
      <c r="H74" s="4">
        <v>68</v>
      </c>
      <c r="I74" s="3" t="s">
        <v>203</v>
      </c>
      <c r="J74" s="95">
        <v>2051.7600003839998</v>
      </c>
      <c r="K74" s="95">
        <v>76.864801385999996</v>
      </c>
      <c r="L74" s="7">
        <v>2261.2568263479998</v>
      </c>
      <c r="M74" s="7">
        <v>465.94509182600001</v>
      </c>
      <c r="N74" s="5">
        <v>3093.1701866459998</v>
      </c>
      <c r="O74" s="74">
        <v>0.20605580330232362</v>
      </c>
      <c r="P74" s="5">
        <v>99284.501169840994</v>
      </c>
      <c r="Q74" s="5">
        <v>0</v>
      </c>
      <c r="R74" s="5">
        <v>0</v>
      </c>
      <c r="S74" s="5">
        <v>0</v>
      </c>
      <c r="T74" s="5">
        <v>0</v>
      </c>
      <c r="U74" s="74">
        <v>0</v>
      </c>
      <c r="V74" s="5">
        <v>0</v>
      </c>
      <c r="W74" s="5">
        <v>3.4613448139999998</v>
      </c>
      <c r="X74" s="5">
        <v>0</v>
      </c>
      <c r="Y74" s="5">
        <v>-47.461130031000003</v>
      </c>
      <c r="Z74" s="5">
        <v>0</v>
      </c>
      <c r="AA74" s="95">
        <v>0</v>
      </c>
      <c r="AB74" s="95">
        <v>0</v>
      </c>
      <c r="AC74" s="5">
        <v>-103.23572452499999</v>
      </c>
    </row>
    <row r="75" spans="1:29" x14ac:dyDescent="0.25">
      <c r="A75" s="4">
        <v>69</v>
      </c>
      <c r="B75" s="3" t="s">
        <v>204</v>
      </c>
      <c r="C75" s="7">
        <v>0</v>
      </c>
      <c r="D75" s="95">
        <v>0</v>
      </c>
      <c r="E75" s="95">
        <v>50.383000000000003</v>
      </c>
      <c r="F75" s="95">
        <v>1722.7246</v>
      </c>
      <c r="H75" s="4">
        <v>69</v>
      </c>
      <c r="I75" s="3" t="s">
        <v>204</v>
      </c>
      <c r="J75" s="95">
        <v>307.19999923199998</v>
      </c>
      <c r="K75" s="95">
        <v>61.829166772000001</v>
      </c>
      <c r="L75" s="7">
        <v>1151.8394782319999</v>
      </c>
      <c r="M75" s="7">
        <v>790.68299520599999</v>
      </c>
      <c r="N75" s="5">
        <v>35506.984067956</v>
      </c>
      <c r="O75" s="74">
        <v>0.68645241819602143</v>
      </c>
      <c r="P75" s="5">
        <v>48822.208027310997</v>
      </c>
      <c r="Q75" s="5">
        <v>0</v>
      </c>
      <c r="R75" s="5">
        <v>0</v>
      </c>
      <c r="S75" s="5">
        <v>0</v>
      </c>
      <c r="T75" s="5">
        <v>0</v>
      </c>
      <c r="U75" s="74">
        <v>0</v>
      </c>
      <c r="V75" s="5">
        <v>0</v>
      </c>
      <c r="W75" s="5">
        <v>-0.77946241299999997</v>
      </c>
      <c r="X75" s="5">
        <v>0</v>
      </c>
      <c r="Y75" s="5">
        <v>0.14252858199999999</v>
      </c>
      <c r="Z75" s="5">
        <v>0</v>
      </c>
      <c r="AA75" s="95">
        <v>0</v>
      </c>
      <c r="AB75" s="95">
        <v>0</v>
      </c>
      <c r="AC75" s="5">
        <v>-3.3229705329999999</v>
      </c>
    </row>
    <row r="76" spans="1:29" x14ac:dyDescent="0.25">
      <c r="A76" s="4">
        <v>70</v>
      </c>
      <c r="B76" s="3" t="s">
        <v>205</v>
      </c>
      <c r="C76" s="7">
        <v>0</v>
      </c>
      <c r="D76" s="95">
        <v>0</v>
      </c>
      <c r="E76" s="95">
        <v>0</v>
      </c>
      <c r="F76" s="95">
        <v>0</v>
      </c>
      <c r="H76" s="4">
        <v>70</v>
      </c>
      <c r="I76" s="3" t="s">
        <v>205</v>
      </c>
      <c r="J76" s="95">
        <v>0</v>
      </c>
      <c r="K76" s="95">
        <v>0</v>
      </c>
      <c r="L76" s="7">
        <v>0</v>
      </c>
      <c r="M76" s="7">
        <v>0</v>
      </c>
      <c r="N76" s="5">
        <v>0</v>
      </c>
      <c r="O76" s="74">
        <v>0</v>
      </c>
      <c r="P76" s="5">
        <v>0</v>
      </c>
      <c r="Q76" s="5">
        <v>0</v>
      </c>
      <c r="R76" s="5">
        <v>0</v>
      </c>
      <c r="S76" s="5">
        <v>0</v>
      </c>
      <c r="T76" s="5">
        <v>0</v>
      </c>
      <c r="U76" s="74">
        <v>0</v>
      </c>
      <c r="V76" s="5">
        <v>0</v>
      </c>
      <c r="W76" s="5">
        <v>0</v>
      </c>
      <c r="X76" s="5">
        <v>0</v>
      </c>
      <c r="Y76" s="5">
        <v>0</v>
      </c>
      <c r="Z76" s="5">
        <v>0</v>
      </c>
      <c r="AA76" s="95">
        <v>0</v>
      </c>
      <c r="AB76" s="95">
        <v>0</v>
      </c>
      <c r="AC76" s="5">
        <v>0</v>
      </c>
    </row>
    <row r="77" spans="1:29" x14ac:dyDescent="0.25">
      <c r="A77" s="4">
        <v>71</v>
      </c>
      <c r="B77" s="3" t="s">
        <v>206</v>
      </c>
      <c r="C77" s="7">
        <v>0</v>
      </c>
      <c r="D77" s="95">
        <v>0</v>
      </c>
      <c r="E77" s="95">
        <v>0</v>
      </c>
      <c r="F77" s="95">
        <v>0</v>
      </c>
      <c r="H77" s="4">
        <v>71</v>
      </c>
      <c r="I77" s="3" t="s">
        <v>206</v>
      </c>
      <c r="J77" s="95">
        <v>0</v>
      </c>
      <c r="K77" s="95">
        <v>0</v>
      </c>
      <c r="L77" s="7">
        <v>0</v>
      </c>
      <c r="M77" s="7">
        <v>0</v>
      </c>
      <c r="N77" s="5">
        <v>0</v>
      </c>
      <c r="O77" s="74">
        <v>0</v>
      </c>
      <c r="P77" s="5">
        <v>0</v>
      </c>
      <c r="Q77" s="5">
        <v>0</v>
      </c>
      <c r="R77" s="5">
        <v>0</v>
      </c>
      <c r="S77" s="5">
        <v>0</v>
      </c>
      <c r="T77" s="5">
        <v>0</v>
      </c>
      <c r="U77" s="74">
        <v>0</v>
      </c>
      <c r="V77" s="5">
        <v>0</v>
      </c>
      <c r="W77" s="5">
        <v>0</v>
      </c>
      <c r="X77" s="5">
        <v>0</v>
      </c>
      <c r="Y77" s="5">
        <v>0</v>
      </c>
      <c r="Z77" s="5">
        <v>0</v>
      </c>
      <c r="AA77" s="95">
        <v>0</v>
      </c>
      <c r="AB77" s="95">
        <v>0</v>
      </c>
      <c r="AC77" s="5">
        <v>0</v>
      </c>
    </row>
    <row r="78" spans="1:29" x14ac:dyDescent="0.25">
      <c r="A78" s="4">
        <v>72</v>
      </c>
      <c r="B78" s="3" t="s">
        <v>207</v>
      </c>
      <c r="C78" s="7">
        <v>0</v>
      </c>
      <c r="D78" s="95">
        <v>0</v>
      </c>
      <c r="E78" s="95">
        <v>0</v>
      </c>
      <c r="F78" s="95">
        <v>0</v>
      </c>
      <c r="H78" s="4">
        <v>72</v>
      </c>
      <c r="I78" s="3" t="s">
        <v>207</v>
      </c>
      <c r="J78" s="95">
        <v>0</v>
      </c>
      <c r="K78" s="95">
        <v>0</v>
      </c>
      <c r="L78" s="7">
        <v>0</v>
      </c>
      <c r="M78" s="7">
        <v>0</v>
      </c>
      <c r="N78" s="5">
        <v>0</v>
      </c>
      <c r="O78" s="74">
        <v>0</v>
      </c>
      <c r="P78" s="5">
        <v>0</v>
      </c>
      <c r="Q78" s="5">
        <v>0</v>
      </c>
      <c r="R78" s="5">
        <v>0</v>
      </c>
      <c r="S78" s="5">
        <v>0</v>
      </c>
      <c r="T78" s="5">
        <v>0</v>
      </c>
      <c r="U78" s="74">
        <v>0</v>
      </c>
      <c r="V78" s="5">
        <v>0</v>
      </c>
      <c r="W78" s="5">
        <v>0</v>
      </c>
      <c r="X78" s="5">
        <v>0</v>
      </c>
      <c r="Y78" s="5">
        <v>0</v>
      </c>
      <c r="Z78" s="5">
        <v>0</v>
      </c>
      <c r="AA78" s="95">
        <v>0</v>
      </c>
      <c r="AB78" s="95">
        <v>0</v>
      </c>
      <c r="AC78" s="5">
        <v>0</v>
      </c>
    </row>
    <row r="79" spans="1:29" x14ac:dyDescent="0.25">
      <c r="A79" s="4">
        <v>73</v>
      </c>
      <c r="B79" s="3" t="s">
        <v>208</v>
      </c>
      <c r="C79" s="7">
        <v>0</v>
      </c>
      <c r="D79" s="95">
        <v>0</v>
      </c>
      <c r="E79" s="95">
        <v>1360.3136</v>
      </c>
      <c r="F79" s="95">
        <v>47047.385300000002</v>
      </c>
      <c r="H79" s="4">
        <v>73</v>
      </c>
      <c r="I79" s="3" t="s">
        <v>208</v>
      </c>
      <c r="J79" s="95">
        <v>43053.719999567998</v>
      </c>
      <c r="K79" s="95">
        <v>-7238.411647121</v>
      </c>
      <c r="L79" s="7">
        <v>35907.986361818999</v>
      </c>
      <c r="M79" s="7">
        <v>691.65100577500004</v>
      </c>
      <c r="N79" s="5">
        <v>2066.5101771949999</v>
      </c>
      <c r="O79" s="74">
        <v>1.9261759732381801E-2</v>
      </c>
      <c r="P79" s="5">
        <v>1362256.14299049</v>
      </c>
      <c r="Q79" s="5">
        <v>0</v>
      </c>
      <c r="R79" s="5">
        <v>0</v>
      </c>
      <c r="S79" s="5">
        <v>56072.918507599999</v>
      </c>
      <c r="T79" s="5">
        <v>31085.682415374999</v>
      </c>
      <c r="U79" s="74">
        <v>0.14533381766936965</v>
      </c>
      <c r="V79" s="5">
        <v>-12667.092214857001</v>
      </c>
      <c r="W79" s="5">
        <v>2665.3499296169998</v>
      </c>
      <c r="X79" s="5">
        <v>0</v>
      </c>
      <c r="Y79" s="5">
        <v>-146.35756985200001</v>
      </c>
      <c r="Z79" s="5">
        <v>0</v>
      </c>
      <c r="AA79" s="95">
        <v>0</v>
      </c>
      <c r="AB79" s="95">
        <v>0</v>
      </c>
      <c r="AC79" s="5">
        <v>77382.724845492994</v>
      </c>
    </row>
    <row r="80" spans="1:29" x14ac:dyDescent="0.25">
      <c r="A80" s="4">
        <v>74</v>
      </c>
      <c r="B80" s="3" t="s">
        <v>209</v>
      </c>
      <c r="C80" s="7">
        <v>0</v>
      </c>
      <c r="D80" s="95">
        <v>0</v>
      </c>
      <c r="E80" s="95">
        <v>0</v>
      </c>
      <c r="F80" s="95">
        <v>0</v>
      </c>
      <c r="H80" s="4">
        <v>74</v>
      </c>
      <c r="I80" s="3" t="s">
        <v>209</v>
      </c>
      <c r="J80" s="95">
        <v>0</v>
      </c>
      <c r="K80" s="95">
        <v>0</v>
      </c>
      <c r="L80" s="7">
        <v>0</v>
      </c>
      <c r="M80" s="7">
        <v>0</v>
      </c>
      <c r="N80" s="5">
        <v>0</v>
      </c>
      <c r="O80" s="74">
        <v>0</v>
      </c>
      <c r="P80" s="5">
        <v>0</v>
      </c>
      <c r="Q80" s="5">
        <v>0</v>
      </c>
      <c r="R80" s="5">
        <v>0</v>
      </c>
      <c r="S80" s="5">
        <v>0</v>
      </c>
      <c r="T80" s="5">
        <v>0</v>
      </c>
      <c r="U80" s="74">
        <v>0</v>
      </c>
      <c r="V80" s="5">
        <v>0</v>
      </c>
      <c r="W80" s="5">
        <v>0</v>
      </c>
      <c r="X80" s="5">
        <v>0</v>
      </c>
      <c r="Y80" s="5">
        <v>0</v>
      </c>
      <c r="Z80" s="5">
        <v>0</v>
      </c>
      <c r="AA80" s="95">
        <v>0</v>
      </c>
      <c r="AB80" s="95">
        <v>0</v>
      </c>
      <c r="AC80" s="5">
        <v>0</v>
      </c>
    </row>
    <row r="81" spans="1:29" x14ac:dyDescent="0.25">
      <c r="A81" s="4">
        <v>75</v>
      </c>
      <c r="B81" s="3" t="s">
        <v>210</v>
      </c>
      <c r="C81" s="7">
        <v>0</v>
      </c>
      <c r="D81" s="95">
        <v>0</v>
      </c>
      <c r="E81" s="95">
        <v>0</v>
      </c>
      <c r="F81" s="95">
        <v>0</v>
      </c>
      <c r="H81" s="4">
        <v>75</v>
      </c>
      <c r="I81" s="3" t="s">
        <v>210</v>
      </c>
      <c r="J81" s="95">
        <v>0</v>
      </c>
      <c r="K81" s="95">
        <v>0</v>
      </c>
      <c r="L81" s="7">
        <v>0</v>
      </c>
      <c r="M81" s="7">
        <v>0</v>
      </c>
      <c r="N81" s="5">
        <v>0</v>
      </c>
      <c r="O81" s="74">
        <v>0</v>
      </c>
      <c r="P81" s="5">
        <v>0</v>
      </c>
      <c r="Q81" s="5">
        <v>0</v>
      </c>
      <c r="R81" s="5">
        <v>0</v>
      </c>
      <c r="S81" s="5">
        <v>0</v>
      </c>
      <c r="T81" s="5">
        <v>0</v>
      </c>
      <c r="U81" s="74">
        <v>0</v>
      </c>
      <c r="V81" s="5">
        <v>0</v>
      </c>
      <c r="W81" s="5">
        <v>0</v>
      </c>
      <c r="X81" s="5">
        <v>0</v>
      </c>
      <c r="Y81" s="5">
        <v>0</v>
      </c>
      <c r="Z81" s="5">
        <v>0</v>
      </c>
      <c r="AA81" s="95">
        <v>0</v>
      </c>
      <c r="AB81" s="95">
        <v>0</v>
      </c>
      <c r="AC81" s="5">
        <v>0</v>
      </c>
    </row>
    <row r="82" spans="1:29" x14ac:dyDescent="0.25">
      <c r="A82" s="3" t="s">
        <v>211</v>
      </c>
      <c r="B82"/>
      <c r="C82" s="7">
        <v>0</v>
      </c>
      <c r="D82" s="95">
        <v>0</v>
      </c>
      <c r="E82" s="95">
        <v>0</v>
      </c>
      <c r="F82" s="95">
        <v>0</v>
      </c>
      <c r="H82" s="3" t="s">
        <v>211</v>
      </c>
      <c r="J82" s="95">
        <v>0</v>
      </c>
      <c r="K82" s="95">
        <v>0</v>
      </c>
      <c r="L82" s="7">
        <v>-80.539195902000003</v>
      </c>
      <c r="M82" s="7">
        <v>80.539195902000003</v>
      </c>
      <c r="N82" s="5">
        <v>-2992.3897570660001</v>
      </c>
      <c r="O82" s="74">
        <v>-1</v>
      </c>
      <c r="P82" s="5">
        <v>-2992.3897570660001</v>
      </c>
      <c r="Q82" s="5">
        <v>0</v>
      </c>
      <c r="R82" s="5">
        <v>0</v>
      </c>
      <c r="S82" s="5">
        <v>0</v>
      </c>
      <c r="T82" s="5">
        <v>0</v>
      </c>
      <c r="U82" s="74">
        <v>0</v>
      </c>
      <c r="V82" s="5">
        <v>0</v>
      </c>
      <c r="W82" s="5">
        <v>0</v>
      </c>
      <c r="X82" s="5">
        <v>0</v>
      </c>
      <c r="Y82" s="5">
        <v>0</v>
      </c>
      <c r="Z82" s="5">
        <v>0</v>
      </c>
      <c r="AA82" s="95">
        <v>0</v>
      </c>
      <c r="AB82" s="95">
        <v>0</v>
      </c>
      <c r="AC82" s="5">
        <v>0</v>
      </c>
    </row>
    <row r="83" spans="1:29" x14ac:dyDescent="0.25">
      <c r="A83" s="4">
        <v>76</v>
      </c>
      <c r="B83" s="3" t="s">
        <v>212</v>
      </c>
      <c r="C83" s="7">
        <v>0</v>
      </c>
      <c r="D83" s="95">
        <v>0</v>
      </c>
      <c r="E83" s="95">
        <v>0</v>
      </c>
      <c r="F83" s="95">
        <v>0</v>
      </c>
      <c r="H83" s="4">
        <v>76</v>
      </c>
      <c r="I83" s="3" t="s">
        <v>212</v>
      </c>
      <c r="J83" s="95">
        <v>0</v>
      </c>
      <c r="K83" s="95">
        <v>0</v>
      </c>
      <c r="L83" s="7">
        <v>0</v>
      </c>
      <c r="M83" s="7">
        <v>0</v>
      </c>
      <c r="N83" s="5">
        <v>0</v>
      </c>
      <c r="O83" s="74">
        <v>0</v>
      </c>
      <c r="P83" s="5">
        <v>0</v>
      </c>
      <c r="Q83" s="5">
        <v>0</v>
      </c>
      <c r="R83" s="5">
        <v>0</v>
      </c>
      <c r="S83" s="5">
        <v>0</v>
      </c>
      <c r="T83" s="5">
        <v>0</v>
      </c>
      <c r="U83" s="74">
        <v>0</v>
      </c>
      <c r="V83" s="5">
        <v>0</v>
      </c>
      <c r="W83" s="5">
        <v>0</v>
      </c>
      <c r="X83" s="5">
        <v>0</v>
      </c>
      <c r="Y83" s="5">
        <v>0</v>
      </c>
      <c r="Z83" s="5">
        <v>0</v>
      </c>
      <c r="AA83" s="95">
        <v>0</v>
      </c>
      <c r="AB83" s="95">
        <v>0</v>
      </c>
      <c r="AC83" s="5">
        <v>0</v>
      </c>
    </row>
    <row r="84" spans="1:29" x14ac:dyDescent="0.25">
      <c r="A84" s="4">
        <v>77</v>
      </c>
      <c r="B84" s="3" t="s">
        <v>212</v>
      </c>
      <c r="C84" s="7">
        <v>0</v>
      </c>
      <c r="D84" s="95">
        <v>0</v>
      </c>
      <c r="E84" s="95">
        <v>0</v>
      </c>
      <c r="F84" s="95">
        <v>0</v>
      </c>
      <c r="H84" s="4">
        <v>77</v>
      </c>
      <c r="I84" s="3" t="s">
        <v>212</v>
      </c>
      <c r="J84" s="95">
        <v>0</v>
      </c>
      <c r="K84" s="95">
        <v>0</v>
      </c>
      <c r="L84" s="7">
        <v>-23.939998607</v>
      </c>
      <c r="M84" s="7">
        <v>23.939998607</v>
      </c>
      <c r="N84" s="5">
        <v>-1262.36283703</v>
      </c>
      <c r="O84" s="74">
        <v>-1</v>
      </c>
      <c r="P84" s="5">
        <v>-1262.36283703</v>
      </c>
      <c r="Q84" s="5">
        <v>0</v>
      </c>
      <c r="R84" s="5">
        <v>0</v>
      </c>
      <c r="S84" s="5">
        <v>0</v>
      </c>
      <c r="T84" s="5">
        <v>0</v>
      </c>
      <c r="U84" s="74">
        <v>0</v>
      </c>
      <c r="V84" s="5">
        <v>0</v>
      </c>
      <c r="W84" s="5">
        <v>0</v>
      </c>
      <c r="X84" s="5">
        <v>0</v>
      </c>
      <c r="Y84" s="5">
        <v>0</v>
      </c>
      <c r="Z84" s="5">
        <v>0</v>
      </c>
      <c r="AA84" s="95">
        <v>0</v>
      </c>
      <c r="AB84" s="95">
        <v>0</v>
      </c>
      <c r="AC84" s="5">
        <v>0</v>
      </c>
    </row>
    <row r="85" spans="1:29" x14ac:dyDescent="0.25">
      <c r="A85" s="4">
        <v>78</v>
      </c>
      <c r="B85" s="3" t="s">
        <v>214</v>
      </c>
      <c r="C85" s="7">
        <v>0</v>
      </c>
      <c r="D85" s="95">
        <v>0</v>
      </c>
      <c r="E85" s="95">
        <v>0</v>
      </c>
      <c r="F85" s="95">
        <v>0</v>
      </c>
      <c r="H85" s="4">
        <v>78</v>
      </c>
      <c r="I85" s="3" t="s">
        <v>214</v>
      </c>
      <c r="J85" s="95">
        <v>0</v>
      </c>
      <c r="K85" s="95">
        <v>0</v>
      </c>
      <c r="L85" s="7">
        <v>0</v>
      </c>
      <c r="M85" s="7">
        <v>0</v>
      </c>
      <c r="N85" s="5">
        <v>0</v>
      </c>
      <c r="O85" s="74">
        <v>0</v>
      </c>
      <c r="P85" s="5">
        <v>0</v>
      </c>
      <c r="Q85" s="5">
        <v>0</v>
      </c>
      <c r="R85" s="5">
        <v>0</v>
      </c>
      <c r="S85" s="5">
        <v>0</v>
      </c>
      <c r="T85" s="5">
        <v>0</v>
      </c>
      <c r="U85" s="74">
        <v>0</v>
      </c>
      <c r="V85" s="5">
        <v>0</v>
      </c>
      <c r="W85" s="5">
        <v>0</v>
      </c>
      <c r="X85" s="5">
        <v>0</v>
      </c>
      <c r="Y85" s="5">
        <v>0</v>
      </c>
      <c r="Z85" s="5">
        <v>0</v>
      </c>
      <c r="AA85" s="95">
        <v>0</v>
      </c>
      <c r="AB85" s="95">
        <v>0</v>
      </c>
      <c r="AC85" s="5">
        <v>0</v>
      </c>
    </row>
    <row r="86" spans="1:29" x14ac:dyDescent="0.25">
      <c r="A86" s="4">
        <v>79</v>
      </c>
      <c r="B86" s="3" t="s">
        <v>214</v>
      </c>
      <c r="C86" s="7">
        <v>0</v>
      </c>
      <c r="D86" s="95">
        <v>0</v>
      </c>
      <c r="E86" s="95">
        <v>0</v>
      </c>
      <c r="F86" s="95">
        <v>0</v>
      </c>
      <c r="H86" s="4">
        <v>79</v>
      </c>
      <c r="I86" s="3" t="s">
        <v>214</v>
      </c>
      <c r="J86" s="95">
        <v>0</v>
      </c>
      <c r="K86" s="95">
        <v>0</v>
      </c>
      <c r="L86" s="7">
        <v>0</v>
      </c>
      <c r="M86" s="7">
        <v>0</v>
      </c>
      <c r="N86" s="5">
        <v>0</v>
      </c>
      <c r="O86" s="74">
        <v>0</v>
      </c>
      <c r="P86" s="5">
        <v>0</v>
      </c>
      <c r="Q86" s="5">
        <v>0</v>
      </c>
      <c r="R86" s="5">
        <v>0</v>
      </c>
      <c r="S86" s="5">
        <v>0</v>
      </c>
      <c r="T86" s="5">
        <v>0</v>
      </c>
      <c r="U86" s="74">
        <v>0</v>
      </c>
      <c r="V86" s="5">
        <v>0</v>
      </c>
      <c r="W86" s="5">
        <v>0</v>
      </c>
      <c r="X86" s="5">
        <v>0</v>
      </c>
      <c r="Y86" s="5">
        <v>0</v>
      </c>
      <c r="Z86" s="5">
        <v>0</v>
      </c>
      <c r="AA86" s="95">
        <v>0</v>
      </c>
      <c r="AB86" s="95">
        <v>0</v>
      </c>
      <c r="AC86" s="5">
        <v>0</v>
      </c>
    </row>
    <row r="87" spans="1:29" x14ac:dyDescent="0.25">
      <c r="A87" s="4">
        <v>80</v>
      </c>
      <c r="B87" s="3" t="s">
        <v>216</v>
      </c>
      <c r="C87" s="7">
        <v>0</v>
      </c>
      <c r="D87" s="95">
        <v>0</v>
      </c>
      <c r="E87" s="95">
        <v>0</v>
      </c>
      <c r="F87" s="95">
        <v>0</v>
      </c>
      <c r="H87" s="4">
        <v>80</v>
      </c>
      <c r="I87" s="3" t="s">
        <v>216</v>
      </c>
      <c r="J87" s="95">
        <v>0</v>
      </c>
      <c r="K87" s="95">
        <v>0</v>
      </c>
      <c r="L87" s="7">
        <v>0</v>
      </c>
      <c r="M87" s="7">
        <v>0</v>
      </c>
      <c r="N87" s="5">
        <v>0</v>
      </c>
      <c r="O87" s="74">
        <v>0</v>
      </c>
      <c r="P87" s="5">
        <v>0</v>
      </c>
      <c r="Q87" s="5">
        <v>0</v>
      </c>
      <c r="R87" s="5">
        <v>0</v>
      </c>
      <c r="S87" s="5">
        <v>0</v>
      </c>
      <c r="T87" s="5">
        <v>0</v>
      </c>
      <c r="U87" s="74">
        <v>0</v>
      </c>
      <c r="V87" s="5">
        <v>0</v>
      </c>
      <c r="W87" s="5">
        <v>0</v>
      </c>
      <c r="X87" s="5">
        <v>0</v>
      </c>
      <c r="Y87" s="5">
        <v>0</v>
      </c>
      <c r="Z87" s="5">
        <v>0</v>
      </c>
      <c r="AA87" s="95">
        <v>0</v>
      </c>
      <c r="AB87" s="95">
        <v>0</v>
      </c>
      <c r="AC87" s="5">
        <v>0</v>
      </c>
    </row>
    <row r="88" spans="1:29" x14ac:dyDescent="0.25">
      <c r="A88" s="4">
        <v>81</v>
      </c>
      <c r="B88" s="3" t="s">
        <v>216</v>
      </c>
      <c r="C88" s="7">
        <v>0</v>
      </c>
      <c r="D88" s="95">
        <v>0</v>
      </c>
      <c r="E88" s="95">
        <v>0</v>
      </c>
      <c r="F88" s="95">
        <v>0</v>
      </c>
      <c r="H88" s="4">
        <v>81</v>
      </c>
      <c r="I88" s="3" t="s">
        <v>216</v>
      </c>
      <c r="J88" s="95">
        <v>0</v>
      </c>
      <c r="K88" s="95">
        <v>0</v>
      </c>
      <c r="L88" s="7">
        <v>-56.599197295000003</v>
      </c>
      <c r="M88" s="7">
        <v>56.599197295000003</v>
      </c>
      <c r="N88" s="5">
        <v>-1730.0269200360001</v>
      </c>
      <c r="O88" s="74">
        <v>-1</v>
      </c>
      <c r="P88" s="5">
        <v>-1730.0269200360001</v>
      </c>
      <c r="Q88" s="5">
        <v>0</v>
      </c>
      <c r="R88" s="5">
        <v>0</v>
      </c>
      <c r="S88" s="5">
        <v>0</v>
      </c>
      <c r="T88" s="5">
        <v>0</v>
      </c>
      <c r="U88" s="74">
        <v>0</v>
      </c>
      <c r="V88" s="5">
        <v>0</v>
      </c>
      <c r="W88" s="5">
        <v>0</v>
      </c>
      <c r="X88" s="5">
        <v>0</v>
      </c>
      <c r="Y88" s="5">
        <v>0</v>
      </c>
      <c r="Z88" s="5">
        <v>0</v>
      </c>
      <c r="AA88" s="95">
        <v>0</v>
      </c>
      <c r="AB88" s="95">
        <v>0</v>
      </c>
      <c r="AC88" s="5">
        <v>0</v>
      </c>
    </row>
    <row r="89" spans="1:29" x14ac:dyDescent="0.25">
      <c r="A89" s="3" t="s">
        <v>218</v>
      </c>
      <c r="B89"/>
      <c r="C89" s="7">
        <v>0</v>
      </c>
      <c r="D89" s="95">
        <v>0</v>
      </c>
      <c r="E89" s="95">
        <v>0</v>
      </c>
      <c r="F89" s="95">
        <v>0</v>
      </c>
      <c r="H89" s="3" t="s">
        <v>218</v>
      </c>
      <c r="J89" s="95">
        <v>1684915.200000576</v>
      </c>
      <c r="K89" s="95">
        <v>9.2191972109999991</v>
      </c>
      <c r="L89" s="7">
        <v>1685377.3479185519</v>
      </c>
      <c r="M89" s="7">
        <v>2234.114820625</v>
      </c>
      <c r="N89" s="5">
        <v>7939.8068789680001</v>
      </c>
      <c r="O89" s="74">
        <v>1.3255873074265185E-3</v>
      </c>
      <c r="P89" s="5">
        <v>68114562.709364101</v>
      </c>
      <c r="Q89" s="5">
        <v>0</v>
      </c>
      <c r="R89" s="5">
        <v>0</v>
      </c>
      <c r="S89" s="5">
        <v>0</v>
      </c>
      <c r="T89" s="5">
        <v>0</v>
      </c>
      <c r="U89" s="74">
        <v>0</v>
      </c>
      <c r="V89" s="5">
        <v>0</v>
      </c>
      <c r="W89" s="5">
        <v>2.602652049</v>
      </c>
      <c r="X89" s="5">
        <v>0</v>
      </c>
      <c r="Y89" s="5">
        <v>-329.30644827999998</v>
      </c>
      <c r="Z89" s="5">
        <v>0</v>
      </c>
      <c r="AA89" s="95">
        <v>0</v>
      </c>
      <c r="AB89" s="95">
        <v>-672198.11379336601</v>
      </c>
      <c r="AC89" s="5">
        <v>-672789.99423346203</v>
      </c>
    </row>
    <row r="90" spans="1:29" x14ac:dyDescent="0.25">
      <c r="A90" s="4">
        <v>82</v>
      </c>
      <c r="B90" s="3" t="s">
        <v>219</v>
      </c>
      <c r="C90" s="7">
        <v>0</v>
      </c>
      <c r="D90" s="95">
        <v>0</v>
      </c>
      <c r="E90" s="95">
        <v>0</v>
      </c>
      <c r="F90" s="95">
        <v>0</v>
      </c>
      <c r="H90" s="4">
        <v>82</v>
      </c>
      <c r="I90" s="3" t="s">
        <v>219</v>
      </c>
      <c r="J90" s="95">
        <v>847908.00000028801</v>
      </c>
      <c r="K90" s="95">
        <v>3.3319263889999999</v>
      </c>
      <c r="L90" s="7">
        <v>848141.61919757805</v>
      </c>
      <c r="M90" s="7">
        <v>1024.1069302389999</v>
      </c>
      <c r="N90" s="5">
        <v>5726.3851544520003</v>
      </c>
      <c r="O90" s="74">
        <v>1.2074716144786074E-3</v>
      </c>
      <c r="P90" s="5">
        <v>34215893.482274599</v>
      </c>
      <c r="Q90" s="5">
        <v>0</v>
      </c>
      <c r="R90" s="5">
        <v>0</v>
      </c>
      <c r="S90" s="5">
        <v>0</v>
      </c>
      <c r="T90" s="5">
        <v>0</v>
      </c>
      <c r="U90" s="74">
        <v>0</v>
      </c>
      <c r="V90" s="5">
        <v>0</v>
      </c>
      <c r="W90" s="5">
        <v>2.5775962950000002</v>
      </c>
      <c r="X90" s="5">
        <v>0</v>
      </c>
      <c r="Y90" s="5">
        <v>-138.92878340999999</v>
      </c>
      <c r="Z90" s="5">
        <v>0</v>
      </c>
      <c r="AA90" s="95">
        <v>0</v>
      </c>
      <c r="AB90" s="95">
        <v>-672198.11379336601</v>
      </c>
      <c r="AC90" s="5">
        <v>-672459.68423527805</v>
      </c>
    </row>
    <row r="91" spans="1:29" x14ac:dyDescent="0.25">
      <c r="A91" s="4">
        <v>83</v>
      </c>
      <c r="B91" s="3" t="s">
        <v>220</v>
      </c>
      <c r="C91" s="7">
        <v>0</v>
      </c>
      <c r="D91" s="95">
        <v>0</v>
      </c>
      <c r="E91" s="95">
        <v>0</v>
      </c>
      <c r="F91" s="95">
        <v>0</v>
      </c>
      <c r="H91" s="4">
        <v>83</v>
      </c>
      <c r="I91" s="3" t="s">
        <v>220</v>
      </c>
      <c r="J91" s="95">
        <v>837007.20000028796</v>
      </c>
      <c r="K91" s="95">
        <v>5.8872708219999996</v>
      </c>
      <c r="L91" s="7">
        <v>837235.72872097394</v>
      </c>
      <c r="M91" s="7">
        <v>1210.0078903860001</v>
      </c>
      <c r="N91" s="5">
        <v>2213.4217245159998</v>
      </c>
      <c r="O91" s="74">
        <v>1.4452415835555677E-3</v>
      </c>
      <c r="P91" s="5">
        <v>33898669.227089502</v>
      </c>
      <c r="Q91" s="5">
        <v>0</v>
      </c>
      <c r="R91" s="5">
        <v>0</v>
      </c>
      <c r="S91" s="5">
        <v>0</v>
      </c>
      <c r="T91" s="5">
        <v>0</v>
      </c>
      <c r="U91" s="74">
        <v>0</v>
      </c>
      <c r="V91" s="5">
        <v>0</v>
      </c>
      <c r="W91" s="5">
        <v>2.5055754E-2</v>
      </c>
      <c r="X91" s="5">
        <v>0</v>
      </c>
      <c r="Y91" s="5">
        <v>-190.37766486999999</v>
      </c>
      <c r="Z91" s="5">
        <v>0</v>
      </c>
      <c r="AA91" s="95">
        <v>0</v>
      </c>
      <c r="AB91" s="95">
        <v>0</v>
      </c>
      <c r="AC91" s="5">
        <v>-330.30999818399999</v>
      </c>
    </row>
    <row r="92" spans="1:29" x14ac:dyDescent="0.25">
      <c r="A92" s="3" t="s">
        <v>221</v>
      </c>
      <c r="B92"/>
      <c r="C92" s="7">
        <v>0</v>
      </c>
      <c r="D92" s="95">
        <v>0</v>
      </c>
      <c r="E92" s="95">
        <v>0</v>
      </c>
      <c r="F92" s="95">
        <v>0</v>
      </c>
      <c r="H92" s="3" t="s">
        <v>221</v>
      </c>
      <c r="J92" s="95">
        <v>578329.85000368208</v>
      </c>
      <c r="K92" s="95">
        <v>-22895.991190097004</v>
      </c>
      <c r="L92" s="7">
        <v>557166.61716966494</v>
      </c>
      <c r="M92" s="7">
        <v>10154.715836273001</v>
      </c>
      <c r="N92" s="5">
        <v>8072.2023161679972</v>
      </c>
      <c r="O92" s="74">
        <v>1.8225635785319761E-2</v>
      </c>
      <c r="P92" s="5">
        <v>24197706.851786621</v>
      </c>
      <c r="Q92" s="5">
        <v>19438.565898524997</v>
      </c>
      <c r="R92" s="5">
        <v>0</v>
      </c>
      <c r="S92" s="5">
        <v>3291.2647450250001</v>
      </c>
      <c r="T92" s="5">
        <v>89935.417648325005</v>
      </c>
      <c r="U92" s="74">
        <v>3.1314768996674132E-2</v>
      </c>
      <c r="V92" s="5">
        <v>-3528.0862242130002</v>
      </c>
      <c r="W92" s="5">
        <v>-7520.108994966</v>
      </c>
      <c r="X92" s="5">
        <v>13775.363315409</v>
      </c>
      <c r="Y92" s="5">
        <v>-285.20891029900002</v>
      </c>
      <c r="Z92" s="5">
        <v>0</v>
      </c>
      <c r="AA92" s="95">
        <v>0</v>
      </c>
      <c r="AB92" s="95">
        <v>-1025520.5325817859</v>
      </c>
      <c r="AC92" s="5">
        <v>-912592.57089227904</v>
      </c>
    </row>
    <row r="93" spans="1:29" x14ac:dyDescent="0.25">
      <c r="A93" s="4">
        <v>84</v>
      </c>
      <c r="B93" s="3" t="s">
        <v>222</v>
      </c>
      <c r="C93" s="7">
        <v>0</v>
      </c>
      <c r="D93" s="95">
        <v>0</v>
      </c>
      <c r="E93" s="95">
        <v>0</v>
      </c>
      <c r="F93" s="95">
        <v>0</v>
      </c>
      <c r="H93" s="4">
        <v>84</v>
      </c>
      <c r="I93" s="3" t="s">
        <v>222</v>
      </c>
      <c r="J93" s="95">
        <v>14978.050003054999</v>
      </c>
      <c r="K93" s="95">
        <v>10281.564933401</v>
      </c>
      <c r="L93" s="7">
        <v>25262.466233814001</v>
      </c>
      <c r="M93" s="7">
        <v>1132.8505962439999</v>
      </c>
      <c r="N93" s="5">
        <v>-9203.8178213120009</v>
      </c>
      <c r="O93" s="74">
        <v>4.4843230496936635E-2</v>
      </c>
      <c r="P93" s="5">
        <v>1190989.9382948801</v>
      </c>
      <c r="Q93" s="5">
        <v>0</v>
      </c>
      <c r="R93" s="5">
        <v>0</v>
      </c>
      <c r="S93" s="5">
        <v>0</v>
      </c>
      <c r="T93" s="5">
        <v>0</v>
      </c>
      <c r="U93" s="74">
        <v>0</v>
      </c>
      <c r="V93" s="5">
        <v>0</v>
      </c>
      <c r="W93" s="5">
        <v>-858.92305593200001</v>
      </c>
      <c r="X93" s="5">
        <v>0</v>
      </c>
      <c r="Y93" s="5">
        <v>-50.787137915999999</v>
      </c>
      <c r="Z93" s="5">
        <v>0</v>
      </c>
      <c r="AA93" s="95">
        <v>0</v>
      </c>
      <c r="AB93" s="95">
        <v>-51625.175270537999</v>
      </c>
      <c r="AC93" s="5">
        <v>-52874.442742250998</v>
      </c>
    </row>
    <row r="94" spans="1:29" x14ac:dyDescent="0.25">
      <c r="A94" s="4">
        <v>85</v>
      </c>
      <c r="B94" s="3" t="s">
        <v>223</v>
      </c>
      <c r="C94" s="7">
        <v>0</v>
      </c>
      <c r="D94" s="95">
        <v>0</v>
      </c>
      <c r="E94" s="95">
        <v>0</v>
      </c>
      <c r="F94" s="95">
        <v>0</v>
      </c>
      <c r="H94" s="4">
        <v>85</v>
      </c>
      <c r="I94" s="3" t="s">
        <v>223</v>
      </c>
      <c r="J94" s="95">
        <v>13064.950000632</v>
      </c>
      <c r="K94" s="95">
        <v>11711.394972755999</v>
      </c>
      <c r="L94" s="7">
        <v>24256.450324606001</v>
      </c>
      <c r="M94" s="7">
        <v>1185.4598386089999</v>
      </c>
      <c r="N94" s="5">
        <v>-25319.003835300999</v>
      </c>
      <c r="O94" s="74">
        <v>4.8871942215158205E-2</v>
      </c>
      <c r="P94" s="5">
        <v>1155186.78396164</v>
      </c>
      <c r="Q94" s="5">
        <v>0</v>
      </c>
      <c r="R94" s="5">
        <v>0</v>
      </c>
      <c r="S94" s="5">
        <v>0</v>
      </c>
      <c r="T94" s="5">
        <v>0</v>
      </c>
      <c r="U94" s="74">
        <v>0</v>
      </c>
      <c r="V94" s="5">
        <v>0</v>
      </c>
      <c r="W94" s="5">
        <v>-240.24798090300001</v>
      </c>
      <c r="X94" s="5">
        <v>0</v>
      </c>
      <c r="Y94" s="5">
        <v>45.766619396999999</v>
      </c>
      <c r="Z94" s="5">
        <v>0</v>
      </c>
      <c r="AA94" s="95">
        <v>0</v>
      </c>
      <c r="AB94" s="95">
        <v>-28291.182678035999</v>
      </c>
      <c r="AC94" s="5">
        <v>-29092.451642443</v>
      </c>
    </row>
    <row r="95" spans="1:29" x14ac:dyDescent="0.25">
      <c r="A95" s="4">
        <v>86</v>
      </c>
      <c r="B95" s="3" t="s">
        <v>224</v>
      </c>
      <c r="C95" s="7">
        <v>0</v>
      </c>
      <c r="D95" s="95">
        <v>0</v>
      </c>
      <c r="E95" s="95">
        <v>0</v>
      </c>
      <c r="F95" s="95">
        <v>0</v>
      </c>
      <c r="H95" s="4">
        <v>86</v>
      </c>
      <c r="I95" s="3" t="s">
        <v>224</v>
      </c>
      <c r="J95" s="95">
        <v>262069.130001012</v>
      </c>
      <c r="K95" s="95">
        <v>-17767.109935861001</v>
      </c>
      <c r="L95" s="7">
        <v>245149.478418443</v>
      </c>
      <c r="M95" s="7">
        <v>4069.6127762219999</v>
      </c>
      <c r="N95" s="5">
        <v>-18748.230872855998</v>
      </c>
      <c r="O95" s="74">
        <v>1.6600536140140676E-2</v>
      </c>
      <c r="P95" s="5">
        <v>11550030.258617301</v>
      </c>
      <c r="Q95" s="5">
        <v>7781.1053578499996</v>
      </c>
      <c r="R95" s="5">
        <v>0</v>
      </c>
      <c r="S95" s="5">
        <v>0</v>
      </c>
      <c r="T95" s="5">
        <v>0</v>
      </c>
      <c r="U95" s="74">
        <v>0.14142553344375547</v>
      </c>
      <c r="V95" s="5">
        <v>-1100.446976016</v>
      </c>
      <c r="W95" s="5">
        <v>-10860.572732532</v>
      </c>
      <c r="X95" s="5">
        <v>12574.799177610001</v>
      </c>
      <c r="Y95" s="5">
        <v>-130.01116161300001</v>
      </c>
      <c r="Z95" s="5">
        <v>0</v>
      </c>
      <c r="AA95" s="95">
        <v>0</v>
      </c>
      <c r="AB95" s="95">
        <v>-479065.14032346598</v>
      </c>
      <c r="AC95" s="5">
        <v>-471616.95042590401</v>
      </c>
    </row>
    <row r="96" spans="1:29" x14ac:dyDescent="0.25">
      <c r="A96" s="4">
        <v>87</v>
      </c>
      <c r="B96" s="3" t="s">
        <v>225</v>
      </c>
      <c r="C96" s="7">
        <v>0</v>
      </c>
      <c r="D96" s="95">
        <v>0</v>
      </c>
      <c r="E96" s="95">
        <v>0</v>
      </c>
      <c r="F96" s="95">
        <v>0</v>
      </c>
      <c r="H96" s="4">
        <v>87</v>
      </c>
      <c r="I96" s="3" t="s">
        <v>225</v>
      </c>
      <c r="J96" s="95">
        <v>288217.71999898303</v>
      </c>
      <c r="K96" s="95">
        <v>-27121.841160393</v>
      </c>
      <c r="L96" s="7">
        <v>262498.222192802</v>
      </c>
      <c r="M96" s="7">
        <v>3766.7926251980002</v>
      </c>
      <c r="N96" s="5">
        <v>61343.254845636999</v>
      </c>
      <c r="O96" s="74">
        <v>1.4349783376556863E-2</v>
      </c>
      <c r="P96" s="5">
        <v>10301499.8709128</v>
      </c>
      <c r="Q96" s="5">
        <v>11657.460540675</v>
      </c>
      <c r="R96" s="5">
        <v>0</v>
      </c>
      <c r="S96" s="5">
        <v>3291.2647450250001</v>
      </c>
      <c r="T96" s="5">
        <v>89935.417648325005</v>
      </c>
      <c r="U96" s="74">
        <v>2.3145913007307995E-2</v>
      </c>
      <c r="V96" s="5">
        <v>-2427.6392481970001</v>
      </c>
      <c r="W96" s="5">
        <v>4439.634774401</v>
      </c>
      <c r="X96" s="5">
        <v>1200.564137799</v>
      </c>
      <c r="Y96" s="5">
        <v>-150.177230167</v>
      </c>
      <c r="Z96" s="5">
        <v>0</v>
      </c>
      <c r="AA96" s="95">
        <v>0</v>
      </c>
      <c r="AB96" s="95">
        <v>-466539.034309746</v>
      </c>
      <c r="AC96" s="5">
        <v>-359008.72608168097</v>
      </c>
    </row>
    <row r="97" spans="1:29" x14ac:dyDescent="0.25">
      <c r="A97" s="3" t="s">
        <v>226</v>
      </c>
      <c r="B97"/>
      <c r="C97" s="7">
        <v>0</v>
      </c>
      <c r="D97" s="95">
        <v>0</v>
      </c>
      <c r="E97" s="95">
        <v>0</v>
      </c>
      <c r="F97" s="95">
        <v>0</v>
      </c>
      <c r="H97" s="3" t="s">
        <v>226</v>
      </c>
      <c r="J97" s="95">
        <v>29592.380009424</v>
      </c>
      <c r="K97" s="95">
        <v>-1596.3615610610002</v>
      </c>
      <c r="L97" s="7">
        <v>27965.572358325004</v>
      </c>
      <c r="M97" s="7">
        <v>2314.0526431099997</v>
      </c>
      <c r="N97" s="5">
        <v>-13739.169869136998</v>
      </c>
      <c r="O97" s="74">
        <v>8.2746478901267156E-2</v>
      </c>
      <c r="P97" s="5">
        <v>759747.02477347001</v>
      </c>
      <c r="Q97" s="5">
        <v>0</v>
      </c>
      <c r="R97" s="5">
        <v>0</v>
      </c>
      <c r="S97" s="5">
        <v>0</v>
      </c>
      <c r="T97" s="5">
        <v>0</v>
      </c>
      <c r="U97" s="74">
        <v>0</v>
      </c>
      <c r="V97" s="5">
        <v>0</v>
      </c>
      <c r="W97" s="5">
        <v>732.50851512399993</v>
      </c>
      <c r="X97" s="5">
        <v>0</v>
      </c>
      <c r="Y97" s="5">
        <v>-829.2143105130001</v>
      </c>
      <c r="Z97" s="5">
        <v>0</v>
      </c>
      <c r="AA97" s="95">
        <v>0</v>
      </c>
      <c r="AB97" s="95">
        <v>0</v>
      </c>
      <c r="AC97" s="5">
        <v>-284.30940965500002</v>
      </c>
    </row>
    <row r="98" spans="1:29" x14ac:dyDescent="0.25">
      <c r="A98" s="4">
        <v>88</v>
      </c>
      <c r="B98" s="3" t="s">
        <v>227</v>
      </c>
      <c r="C98" s="7">
        <v>0</v>
      </c>
      <c r="D98" s="95">
        <v>0</v>
      </c>
      <c r="E98" s="95">
        <v>0</v>
      </c>
      <c r="F98" s="95">
        <v>0</v>
      </c>
      <c r="H98" s="4">
        <v>88</v>
      </c>
      <c r="I98" s="3" t="s">
        <v>227</v>
      </c>
      <c r="J98" s="95">
        <v>4115.0100012359999</v>
      </c>
      <c r="K98" s="95">
        <v>-163.342992796</v>
      </c>
      <c r="L98" s="7">
        <v>3954.824896092</v>
      </c>
      <c r="M98" s="7">
        <v>285.21431588899998</v>
      </c>
      <c r="N98" s="5">
        <v>-885.47166292999998</v>
      </c>
      <c r="O98" s="74">
        <v>7.2118064233599163E-2</v>
      </c>
      <c r="P98" s="5">
        <v>110715.69655096201</v>
      </c>
      <c r="Q98" s="5">
        <v>0</v>
      </c>
      <c r="R98" s="5">
        <v>0</v>
      </c>
      <c r="S98" s="5">
        <v>0</v>
      </c>
      <c r="T98" s="5">
        <v>0</v>
      </c>
      <c r="U98" s="74">
        <v>0</v>
      </c>
      <c r="V98" s="5">
        <v>0</v>
      </c>
      <c r="W98" s="5">
        <v>102.040660368</v>
      </c>
      <c r="X98" s="5">
        <v>0</v>
      </c>
      <c r="Y98" s="5">
        <v>-105.963594461</v>
      </c>
      <c r="Z98" s="5">
        <v>0</v>
      </c>
      <c r="AA98" s="95">
        <v>0</v>
      </c>
      <c r="AB98" s="95">
        <v>0</v>
      </c>
      <c r="AC98" s="5">
        <v>-24.434093425</v>
      </c>
    </row>
    <row r="99" spans="1:29" x14ac:dyDescent="0.25">
      <c r="A99" s="4">
        <v>89</v>
      </c>
      <c r="B99" s="3" t="s">
        <v>228</v>
      </c>
      <c r="C99" s="7">
        <v>0</v>
      </c>
      <c r="D99" s="95">
        <v>0</v>
      </c>
      <c r="E99" s="95">
        <v>0</v>
      </c>
      <c r="F99" s="95">
        <v>0</v>
      </c>
      <c r="H99" s="4">
        <v>89</v>
      </c>
      <c r="I99" s="3" t="s">
        <v>228</v>
      </c>
      <c r="J99" s="95">
        <v>2502.79000116</v>
      </c>
      <c r="K99" s="95">
        <v>-105.946107189</v>
      </c>
      <c r="L99" s="7">
        <v>2416.499709403</v>
      </c>
      <c r="M99" s="7">
        <v>223.45451446499999</v>
      </c>
      <c r="N99" s="5">
        <v>-1134.740692356</v>
      </c>
      <c r="O99" s="74">
        <v>9.2470325403103307E-2</v>
      </c>
      <c r="P99" s="5">
        <v>66794.344296030002</v>
      </c>
      <c r="Q99" s="5">
        <v>0</v>
      </c>
      <c r="R99" s="5">
        <v>0</v>
      </c>
      <c r="S99" s="5">
        <v>0</v>
      </c>
      <c r="T99" s="5">
        <v>0</v>
      </c>
      <c r="U99" s="74">
        <v>0</v>
      </c>
      <c r="V99" s="5">
        <v>0</v>
      </c>
      <c r="W99" s="5">
        <v>30.226046183000001</v>
      </c>
      <c r="X99" s="5">
        <v>0</v>
      </c>
      <c r="Y99" s="5">
        <v>-68.493566448999999</v>
      </c>
      <c r="Z99" s="5">
        <v>0</v>
      </c>
      <c r="AA99" s="95">
        <v>0</v>
      </c>
      <c r="AB99" s="95">
        <v>0</v>
      </c>
      <c r="AC99" s="5">
        <v>-58.981948875</v>
      </c>
    </row>
    <row r="100" spans="1:29" x14ac:dyDescent="0.25">
      <c r="A100" s="4">
        <v>90</v>
      </c>
      <c r="B100" s="3" t="s">
        <v>229</v>
      </c>
      <c r="C100" s="7">
        <v>0</v>
      </c>
      <c r="D100" s="95">
        <v>0</v>
      </c>
      <c r="E100" s="95">
        <v>0</v>
      </c>
      <c r="F100" s="95">
        <v>0</v>
      </c>
      <c r="H100" s="4">
        <v>90</v>
      </c>
      <c r="I100" s="3" t="s">
        <v>229</v>
      </c>
      <c r="J100" s="95">
        <v>4143.8900012040003</v>
      </c>
      <c r="K100" s="95">
        <v>-263.06977394</v>
      </c>
      <c r="L100" s="7">
        <v>3808.3030564589999</v>
      </c>
      <c r="M100" s="7">
        <v>301.29775308699999</v>
      </c>
      <c r="N100" s="5">
        <v>-2062.1336524540002</v>
      </c>
      <c r="O100" s="74">
        <v>7.9116012728028484E-2</v>
      </c>
      <c r="P100" s="5">
        <v>107910.077928959</v>
      </c>
      <c r="Q100" s="5">
        <v>0</v>
      </c>
      <c r="R100" s="5">
        <v>0</v>
      </c>
      <c r="S100" s="5">
        <v>0</v>
      </c>
      <c r="T100" s="5">
        <v>0</v>
      </c>
      <c r="U100" s="74">
        <v>0</v>
      </c>
      <c r="V100" s="5">
        <v>0</v>
      </c>
      <c r="W100" s="5">
        <v>95.735607380999994</v>
      </c>
      <c r="X100" s="5">
        <v>0</v>
      </c>
      <c r="Y100" s="5">
        <v>-146.338938251</v>
      </c>
      <c r="Z100" s="5">
        <v>0</v>
      </c>
      <c r="AA100" s="95">
        <v>0</v>
      </c>
      <c r="AB100" s="95">
        <v>0</v>
      </c>
      <c r="AC100" s="5">
        <v>-64.207912136999994</v>
      </c>
    </row>
    <row r="101" spans="1:29" x14ac:dyDescent="0.25">
      <c r="A101" s="4">
        <v>91</v>
      </c>
      <c r="B101" s="3" t="s">
        <v>230</v>
      </c>
      <c r="C101" s="7">
        <v>0</v>
      </c>
      <c r="D101" s="95">
        <v>0</v>
      </c>
      <c r="E101" s="95">
        <v>0</v>
      </c>
      <c r="F101" s="95">
        <v>0</v>
      </c>
      <c r="H101" s="4">
        <v>91</v>
      </c>
      <c r="I101" s="3" t="s">
        <v>230</v>
      </c>
      <c r="J101" s="95">
        <v>3890.6000011320002</v>
      </c>
      <c r="K101" s="95">
        <v>-347.92190267000001</v>
      </c>
      <c r="L101" s="7">
        <v>3533.5012750300002</v>
      </c>
      <c r="M101" s="7">
        <v>308.77370870599998</v>
      </c>
      <c r="N101" s="5">
        <v>-1450.5941540470001</v>
      </c>
      <c r="O101" s="74">
        <v>8.7384632032820875E-2</v>
      </c>
      <c r="P101" s="5">
        <v>99061.990998698006</v>
      </c>
      <c r="Q101" s="5">
        <v>0</v>
      </c>
      <c r="R101" s="5">
        <v>0</v>
      </c>
      <c r="S101" s="5">
        <v>0</v>
      </c>
      <c r="T101" s="5">
        <v>0</v>
      </c>
      <c r="U101" s="74">
        <v>0</v>
      </c>
      <c r="V101" s="5">
        <v>0</v>
      </c>
      <c r="W101" s="5">
        <v>165.22852702500001</v>
      </c>
      <c r="X101" s="5">
        <v>0</v>
      </c>
      <c r="Y101" s="5">
        <v>-115.34623462099999</v>
      </c>
      <c r="Z101" s="5">
        <v>0</v>
      </c>
      <c r="AA101" s="95">
        <v>0</v>
      </c>
      <c r="AB101" s="95">
        <v>0</v>
      </c>
      <c r="AC101" s="5">
        <v>31.884048881999998</v>
      </c>
    </row>
    <row r="102" spans="1:29" x14ac:dyDescent="0.25">
      <c r="A102" s="4">
        <v>92</v>
      </c>
      <c r="B102" s="3" t="s">
        <v>231</v>
      </c>
      <c r="C102" s="7">
        <v>0</v>
      </c>
      <c r="D102" s="95">
        <v>0</v>
      </c>
      <c r="E102" s="95">
        <v>0</v>
      </c>
      <c r="F102" s="95">
        <v>0</v>
      </c>
      <c r="H102" s="4">
        <v>92</v>
      </c>
      <c r="I102" s="3" t="s">
        <v>231</v>
      </c>
      <c r="J102" s="95">
        <v>1956.960001188</v>
      </c>
      <c r="K102" s="95">
        <v>-111.058016569</v>
      </c>
      <c r="L102" s="7">
        <v>1925.8982935449999</v>
      </c>
      <c r="M102" s="7">
        <v>168.49023212500001</v>
      </c>
      <c r="N102" s="5">
        <v>-976.87572341700002</v>
      </c>
      <c r="O102" s="74">
        <v>8.7486568054879019E-2</v>
      </c>
      <c r="P102" s="5">
        <v>32799.229581795997</v>
      </c>
      <c r="Q102" s="5">
        <v>0</v>
      </c>
      <c r="R102" s="5">
        <v>0</v>
      </c>
      <c r="S102" s="5">
        <v>0</v>
      </c>
      <c r="T102" s="5">
        <v>0</v>
      </c>
      <c r="U102" s="74">
        <v>0</v>
      </c>
      <c r="V102" s="5">
        <v>0</v>
      </c>
      <c r="W102" s="5">
        <v>38.702830884000001</v>
      </c>
      <c r="X102" s="5">
        <v>0</v>
      </c>
      <c r="Y102" s="5">
        <v>-33.037690142000002</v>
      </c>
      <c r="Z102" s="5">
        <v>0</v>
      </c>
      <c r="AA102" s="95">
        <v>0</v>
      </c>
      <c r="AB102" s="95">
        <v>0</v>
      </c>
      <c r="AC102" s="5">
        <v>-0.96827046500000002</v>
      </c>
    </row>
    <row r="103" spans="1:29" x14ac:dyDescent="0.25">
      <c r="A103" s="4">
        <v>93</v>
      </c>
      <c r="B103" s="3" t="s">
        <v>232</v>
      </c>
      <c r="C103" s="7">
        <v>0</v>
      </c>
      <c r="D103" s="95">
        <v>0</v>
      </c>
      <c r="E103" s="95">
        <v>0</v>
      </c>
      <c r="F103" s="95">
        <v>0</v>
      </c>
      <c r="H103" s="4">
        <v>93</v>
      </c>
      <c r="I103" s="3" t="s">
        <v>232</v>
      </c>
      <c r="J103" s="95">
        <v>3973.1000012159998</v>
      </c>
      <c r="K103" s="95">
        <v>-230.164310242</v>
      </c>
      <c r="L103" s="7">
        <v>3739.0995846010001</v>
      </c>
      <c r="M103" s="7">
        <v>283.73983226299998</v>
      </c>
      <c r="N103" s="5">
        <v>-835.89107733699996</v>
      </c>
      <c r="O103" s="74">
        <v>7.5884534723692817E-2</v>
      </c>
      <c r="P103" s="5">
        <v>105029.29360108799</v>
      </c>
      <c r="Q103" s="5">
        <v>0</v>
      </c>
      <c r="R103" s="5">
        <v>0</v>
      </c>
      <c r="S103" s="5">
        <v>0</v>
      </c>
      <c r="T103" s="5">
        <v>0</v>
      </c>
      <c r="U103" s="74">
        <v>0</v>
      </c>
      <c r="V103" s="5">
        <v>0</v>
      </c>
      <c r="W103" s="5">
        <v>92.983505364999999</v>
      </c>
      <c r="X103" s="5">
        <v>0</v>
      </c>
      <c r="Y103" s="5">
        <v>-112.50864226100001</v>
      </c>
      <c r="Z103" s="5">
        <v>0</v>
      </c>
      <c r="AA103" s="95">
        <v>0</v>
      </c>
      <c r="AB103" s="95">
        <v>0</v>
      </c>
      <c r="AC103" s="5">
        <v>-32.581115472999997</v>
      </c>
    </row>
    <row r="104" spans="1:29" x14ac:dyDescent="0.25">
      <c r="A104" s="4">
        <v>94</v>
      </c>
      <c r="B104" s="3" t="s">
        <v>233</v>
      </c>
      <c r="C104" s="7">
        <v>0</v>
      </c>
      <c r="D104" s="95">
        <v>0</v>
      </c>
      <c r="E104" s="95">
        <v>0</v>
      </c>
      <c r="F104" s="95">
        <v>0</v>
      </c>
      <c r="H104" s="4">
        <v>94</v>
      </c>
      <c r="I104" s="3" t="s">
        <v>233</v>
      </c>
      <c r="J104" s="95">
        <v>3795.1000011840001</v>
      </c>
      <c r="K104" s="95">
        <v>-166.42234780499999</v>
      </c>
      <c r="L104" s="7">
        <v>3639.9323156340001</v>
      </c>
      <c r="M104" s="7">
        <v>324.05171455599998</v>
      </c>
      <c r="N104" s="5">
        <v>-2957.8938922910002</v>
      </c>
      <c r="O104" s="74">
        <v>8.9026851725828568E-2</v>
      </c>
      <c r="P104" s="5">
        <v>99732.959960786</v>
      </c>
      <c r="Q104" s="5">
        <v>0</v>
      </c>
      <c r="R104" s="5">
        <v>0</v>
      </c>
      <c r="S104" s="5">
        <v>0</v>
      </c>
      <c r="T104" s="5">
        <v>0</v>
      </c>
      <c r="U104" s="74">
        <v>0</v>
      </c>
      <c r="V104" s="5">
        <v>0</v>
      </c>
      <c r="W104" s="5">
        <v>64.972360808999994</v>
      </c>
      <c r="X104" s="5">
        <v>0</v>
      </c>
      <c r="Y104" s="5">
        <v>-106.186259226</v>
      </c>
      <c r="Z104" s="5">
        <v>0</v>
      </c>
      <c r="AA104" s="95">
        <v>0</v>
      </c>
      <c r="AB104" s="95">
        <v>0</v>
      </c>
      <c r="AC104" s="5">
        <v>-71.614895703000002</v>
      </c>
    </row>
    <row r="105" spans="1:29" x14ac:dyDescent="0.25">
      <c r="A105" s="4">
        <v>95</v>
      </c>
      <c r="B105" s="3" t="s">
        <v>234</v>
      </c>
      <c r="C105" s="7">
        <v>0</v>
      </c>
      <c r="D105" s="95">
        <v>0</v>
      </c>
      <c r="E105" s="95">
        <v>0</v>
      </c>
      <c r="F105" s="95">
        <v>0</v>
      </c>
      <c r="H105" s="4">
        <v>95</v>
      </c>
      <c r="I105" s="3" t="s">
        <v>234</v>
      </c>
      <c r="J105" s="95">
        <v>382.699998768</v>
      </c>
      <c r="K105" s="95">
        <v>5.4002608969999999</v>
      </c>
      <c r="L105" s="7">
        <v>380.376293019</v>
      </c>
      <c r="M105" s="7">
        <v>33.100009874999998</v>
      </c>
      <c r="N105" s="5">
        <v>-374.63697997399998</v>
      </c>
      <c r="O105" s="74">
        <v>8.7019118915874799E-2</v>
      </c>
      <c r="P105" s="5">
        <v>11283.136523552999</v>
      </c>
      <c r="Q105" s="5">
        <v>0</v>
      </c>
      <c r="R105" s="5">
        <v>0</v>
      </c>
      <c r="S105" s="5">
        <v>0</v>
      </c>
      <c r="T105" s="5">
        <v>0</v>
      </c>
      <c r="U105" s="74">
        <v>0</v>
      </c>
      <c r="V105" s="5">
        <v>0</v>
      </c>
      <c r="W105" s="5">
        <v>-1.3233933529999999</v>
      </c>
      <c r="X105" s="5">
        <v>0</v>
      </c>
      <c r="Y105" s="5">
        <v>-15.884698650000001</v>
      </c>
      <c r="Z105" s="5">
        <v>0</v>
      </c>
      <c r="AA105" s="95">
        <v>0</v>
      </c>
      <c r="AB105" s="95">
        <v>0</v>
      </c>
      <c r="AC105" s="5">
        <v>-18.559841170999999</v>
      </c>
    </row>
    <row r="106" spans="1:29" x14ac:dyDescent="0.25">
      <c r="A106" s="4">
        <v>96</v>
      </c>
      <c r="B106" s="3" t="s">
        <v>235</v>
      </c>
      <c r="C106" s="7">
        <v>0</v>
      </c>
      <c r="D106" s="95">
        <v>0</v>
      </c>
      <c r="E106" s="95">
        <v>0</v>
      </c>
      <c r="F106" s="95">
        <v>0</v>
      </c>
      <c r="H106" s="4">
        <v>96</v>
      </c>
      <c r="I106" s="3" t="s">
        <v>235</v>
      </c>
      <c r="J106" s="95">
        <v>2195.4700012080002</v>
      </c>
      <c r="K106" s="95">
        <v>-128.203216242</v>
      </c>
      <c r="L106" s="7">
        <v>2042.369519888</v>
      </c>
      <c r="M106" s="7">
        <v>152.62189609199999</v>
      </c>
      <c r="N106" s="5">
        <v>-795.62733251899999</v>
      </c>
      <c r="O106" s="74">
        <v>7.472785634813503E-2</v>
      </c>
      <c r="P106" s="5">
        <v>57231.968079580998</v>
      </c>
      <c r="Q106" s="5">
        <v>0</v>
      </c>
      <c r="R106" s="5">
        <v>0</v>
      </c>
      <c r="S106" s="5">
        <v>0</v>
      </c>
      <c r="T106" s="5">
        <v>0</v>
      </c>
      <c r="U106" s="74">
        <v>0</v>
      </c>
      <c r="V106" s="5">
        <v>0</v>
      </c>
      <c r="W106" s="5">
        <v>53.067098803999997</v>
      </c>
      <c r="X106" s="5">
        <v>0</v>
      </c>
      <c r="Y106" s="5">
        <v>-68.043215215000004</v>
      </c>
      <c r="Z106" s="5">
        <v>0</v>
      </c>
      <c r="AA106" s="95">
        <v>0</v>
      </c>
      <c r="AB106" s="95">
        <v>0</v>
      </c>
      <c r="AC106" s="5">
        <v>-22.172030791000001</v>
      </c>
    </row>
    <row r="107" spans="1:29" x14ac:dyDescent="0.25">
      <c r="A107" s="4">
        <v>97</v>
      </c>
      <c r="B107" s="3" t="s">
        <v>236</v>
      </c>
      <c r="C107" s="7">
        <v>0</v>
      </c>
      <c r="D107" s="95">
        <v>0</v>
      </c>
      <c r="E107" s="95">
        <v>0</v>
      </c>
      <c r="F107" s="95">
        <v>0</v>
      </c>
      <c r="H107" s="4">
        <v>97</v>
      </c>
      <c r="I107" s="3" t="s">
        <v>236</v>
      </c>
      <c r="J107" s="95">
        <v>2636.7600011280001</v>
      </c>
      <c r="K107" s="95">
        <v>-85.633154504999993</v>
      </c>
      <c r="L107" s="7">
        <v>2524.7674146539998</v>
      </c>
      <c r="M107" s="7">
        <v>233.30866605200001</v>
      </c>
      <c r="N107" s="5">
        <v>-2265.3047018120001</v>
      </c>
      <c r="O107" s="74">
        <v>9.2407983681131747E-2</v>
      </c>
      <c r="P107" s="5">
        <v>69188.327252016999</v>
      </c>
      <c r="Q107" s="5">
        <v>0</v>
      </c>
      <c r="R107" s="5">
        <v>0</v>
      </c>
      <c r="S107" s="5">
        <v>0</v>
      </c>
      <c r="T107" s="5">
        <v>0</v>
      </c>
      <c r="U107" s="74">
        <v>0</v>
      </c>
      <c r="V107" s="5">
        <v>0</v>
      </c>
      <c r="W107" s="5">
        <v>90.875271658000003</v>
      </c>
      <c r="X107" s="5">
        <v>0</v>
      </c>
      <c r="Y107" s="5">
        <v>-57.411471237000001</v>
      </c>
      <c r="Z107" s="5">
        <v>0</v>
      </c>
      <c r="AA107" s="95">
        <v>0</v>
      </c>
      <c r="AB107" s="95">
        <v>0</v>
      </c>
      <c r="AC107" s="5">
        <v>-22.673350497000001</v>
      </c>
    </row>
    <row r="108" spans="1:29" x14ac:dyDescent="0.25">
      <c r="A108" s="3" t="s">
        <v>237</v>
      </c>
      <c r="B108"/>
      <c r="C108" s="7">
        <v>0</v>
      </c>
      <c r="D108" s="95">
        <v>0</v>
      </c>
      <c r="E108" s="95">
        <v>0</v>
      </c>
      <c r="F108" s="95">
        <v>0</v>
      </c>
      <c r="H108" s="3" t="s">
        <v>237</v>
      </c>
      <c r="J108" s="95">
        <v>817.20000031199993</v>
      </c>
      <c r="K108" s="95">
        <v>-42.708073626000001</v>
      </c>
      <c r="L108" s="7">
        <v>746.38300000000004</v>
      </c>
      <c r="M108" s="7">
        <v>76.189373582000002</v>
      </c>
      <c r="N108" s="5">
        <v>-2477.8641499310002</v>
      </c>
      <c r="O108" s="74">
        <v>0.10207812019030443</v>
      </c>
      <c r="P108" s="5">
        <v>28847.33387504</v>
      </c>
      <c r="Q108" s="5">
        <v>0</v>
      </c>
      <c r="R108" s="5">
        <v>0</v>
      </c>
      <c r="S108" s="5">
        <v>0</v>
      </c>
      <c r="T108" s="5">
        <v>0</v>
      </c>
      <c r="U108" s="74">
        <v>0</v>
      </c>
      <c r="V108" s="5">
        <v>0</v>
      </c>
      <c r="W108" s="5">
        <v>1.053134596</v>
      </c>
      <c r="X108" s="5">
        <v>0</v>
      </c>
      <c r="Y108" s="5">
        <v>8.0335118429999994</v>
      </c>
      <c r="Z108" s="5">
        <v>0</v>
      </c>
      <c r="AA108" s="95">
        <v>0</v>
      </c>
      <c r="AB108" s="95">
        <v>0</v>
      </c>
      <c r="AC108" s="5">
        <v>-29.686595757999999</v>
      </c>
    </row>
    <row r="109" spans="1:29" x14ac:dyDescent="0.25">
      <c r="A109" s="4">
        <v>98</v>
      </c>
      <c r="B109" s="3" t="s">
        <v>238</v>
      </c>
      <c r="C109" s="7">
        <v>0</v>
      </c>
      <c r="D109" s="95">
        <v>0</v>
      </c>
      <c r="E109" s="95">
        <v>0</v>
      </c>
      <c r="F109" s="95">
        <v>0</v>
      </c>
      <c r="H109" s="4">
        <v>98</v>
      </c>
      <c r="I109" s="3" t="s">
        <v>238</v>
      </c>
      <c r="J109" s="95">
        <v>691.96000029599998</v>
      </c>
      <c r="K109" s="95">
        <v>-42.708073626000001</v>
      </c>
      <c r="L109" s="7">
        <v>627.95699999999999</v>
      </c>
      <c r="M109" s="7">
        <v>68.376248571999994</v>
      </c>
      <c r="N109" s="5">
        <v>-2195.3606691670002</v>
      </c>
      <c r="O109" s="74">
        <v>0.10888683233406109</v>
      </c>
      <c r="P109" s="5">
        <v>23682.286309659001</v>
      </c>
      <c r="Q109" s="5">
        <v>0</v>
      </c>
      <c r="R109" s="5">
        <v>0</v>
      </c>
      <c r="S109" s="5">
        <v>0</v>
      </c>
      <c r="T109" s="5">
        <v>0</v>
      </c>
      <c r="U109" s="74">
        <v>0</v>
      </c>
      <c r="V109" s="5">
        <v>0</v>
      </c>
      <c r="W109" s="5">
        <v>1.0941087039999999</v>
      </c>
      <c r="X109" s="5">
        <v>0</v>
      </c>
      <c r="Y109" s="5">
        <v>8.8499123629999996</v>
      </c>
      <c r="Z109" s="5">
        <v>0</v>
      </c>
      <c r="AA109" s="95">
        <v>0</v>
      </c>
      <c r="AB109" s="95">
        <v>0</v>
      </c>
      <c r="AC109" s="5">
        <v>-25.233744218999998</v>
      </c>
    </row>
    <row r="110" spans="1:29" x14ac:dyDescent="0.25">
      <c r="A110" s="4">
        <v>99</v>
      </c>
      <c r="B110" s="3" t="s">
        <v>239</v>
      </c>
      <c r="C110" s="7">
        <v>0</v>
      </c>
      <c r="D110" s="95">
        <v>0</v>
      </c>
      <c r="E110" s="95">
        <v>0</v>
      </c>
      <c r="F110" s="95">
        <v>0</v>
      </c>
      <c r="H110" s="4">
        <v>99</v>
      </c>
      <c r="I110" s="3" t="s">
        <v>239</v>
      </c>
      <c r="J110" s="95">
        <v>125.240000016</v>
      </c>
      <c r="K110" s="95">
        <v>0</v>
      </c>
      <c r="L110" s="7">
        <v>118.426</v>
      </c>
      <c r="M110" s="7">
        <v>7.8131250100000003</v>
      </c>
      <c r="N110" s="5">
        <v>-282.50348076400002</v>
      </c>
      <c r="O110" s="74">
        <v>6.5974743806258757E-2</v>
      </c>
      <c r="P110" s="5">
        <v>5165.0475653809999</v>
      </c>
      <c r="Q110" s="5">
        <v>0</v>
      </c>
      <c r="R110" s="5">
        <v>0</v>
      </c>
      <c r="S110" s="5">
        <v>0</v>
      </c>
      <c r="T110" s="5">
        <v>0</v>
      </c>
      <c r="U110" s="74">
        <v>0</v>
      </c>
      <c r="V110" s="5">
        <v>0</v>
      </c>
      <c r="W110" s="5">
        <v>-4.0974108000000002E-2</v>
      </c>
      <c r="X110" s="5">
        <v>0</v>
      </c>
      <c r="Y110" s="5">
        <v>-0.81640051999999996</v>
      </c>
      <c r="Z110" s="5">
        <v>0</v>
      </c>
      <c r="AA110" s="95">
        <v>0</v>
      </c>
      <c r="AB110" s="95">
        <v>0</v>
      </c>
      <c r="AC110" s="5">
        <v>-4.4528515390000001</v>
      </c>
    </row>
    <row r="111" spans="1:29" x14ac:dyDescent="0.25">
      <c r="A111" s="3" t="s">
        <v>391</v>
      </c>
      <c r="B111"/>
      <c r="C111" s="7">
        <v>0</v>
      </c>
      <c r="D111" s="95">
        <v>0</v>
      </c>
      <c r="E111" s="95">
        <v>0</v>
      </c>
      <c r="F111" s="95">
        <v>0</v>
      </c>
      <c r="H111" s="3" t="s">
        <v>391</v>
      </c>
      <c r="J111" s="95">
        <v>103.769999868</v>
      </c>
      <c r="K111" s="95">
        <v>-478.120379646</v>
      </c>
      <c r="L111" s="7">
        <v>-530.73750517999997</v>
      </c>
      <c r="M111" s="7">
        <v>670.5184210729999</v>
      </c>
      <c r="N111" s="5">
        <v>-7656.7767212669996</v>
      </c>
      <c r="O111" s="74">
        <v>-1.2633710912244522</v>
      </c>
      <c r="P111" s="5">
        <v>7741.883772354</v>
      </c>
      <c r="Q111" s="5">
        <v>955.30730770000002</v>
      </c>
      <c r="R111" s="5">
        <v>0</v>
      </c>
      <c r="S111" s="5">
        <v>17987.103499075001</v>
      </c>
      <c r="T111" s="5">
        <v>12726.140873625</v>
      </c>
      <c r="U111" s="74">
        <v>3.0474711067708989E-2</v>
      </c>
      <c r="V111" s="5">
        <v>-965.08996239299995</v>
      </c>
      <c r="W111" s="5">
        <v>-247.507903062</v>
      </c>
      <c r="X111" s="5">
        <v>328.110320839</v>
      </c>
      <c r="Y111" s="5">
        <v>-68.852845795000007</v>
      </c>
      <c r="Z111" s="5">
        <v>0</v>
      </c>
      <c r="AA111" s="95">
        <v>0</v>
      </c>
      <c r="AB111" s="95">
        <v>0</v>
      </c>
      <c r="AC111" s="5">
        <v>30840.404896296001</v>
      </c>
    </row>
    <row r="112" spans="1:29" x14ac:dyDescent="0.25">
      <c r="A112" s="4">
        <v>100</v>
      </c>
      <c r="B112" s="3" t="s">
        <v>340</v>
      </c>
      <c r="C112" s="7">
        <v>0</v>
      </c>
      <c r="D112" s="95">
        <v>0</v>
      </c>
      <c r="E112" s="95">
        <v>0</v>
      </c>
      <c r="F112" s="95">
        <v>0</v>
      </c>
      <c r="H112" s="4">
        <v>100</v>
      </c>
      <c r="I112" s="3" t="s">
        <v>340</v>
      </c>
      <c r="J112" s="95">
        <v>-32.899999907999998</v>
      </c>
      <c r="K112" s="95">
        <v>-99.758036907999994</v>
      </c>
      <c r="L112" s="7">
        <v>-117.111367943</v>
      </c>
      <c r="M112" s="7">
        <v>124.11730175700001</v>
      </c>
      <c r="N112" s="5">
        <v>289.934750479</v>
      </c>
      <c r="O112" s="74">
        <v>-1.0598228330610049</v>
      </c>
      <c r="P112" s="5">
        <v>-2974.0333027800002</v>
      </c>
      <c r="Q112" s="5">
        <v>955.30730770000002</v>
      </c>
      <c r="R112" s="5">
        <v>0</v>
      </c>
      <c r="S112" s="5">
        <v>10910.18184445</v>
      </c>
      <c r="T112" s="5">
        <v>6921.0986695499996</v>
      </c>
      <c r="U112" s="74">
        <v>4.217753413255533E-2</v>
      </c>
      <c r="V112" s="5">
        <v>-792.37194908399999</v>
      </c>
      <c r="W112" s="5">
        <v>-5.9025348989999999</v>
      </c>
      <c r="X112" s="5">
        <v>30.112480899000001</v>
      </c>
      <c r="Y112" s="5">
        <v>-7.1668016989999996</v>
      </c>
      <c r="Z112" s="5">
        <v>0</v>
      </c>
      <c r="AA112" s="95">
        <v>0</v>
      </c>
      <c r="AB112" s="95">
        <v>0</v>
      </c>
      <c r="AC112" s="5">
        <v>18121.718235052998</v>
      </c>
    </row>
    <row r="113" spans="1:29" x14ac:dyDescent="0.25">
      <c r="A113" s="4">
        <v>101</v>
      </c>
      <c r="B113" s="3" t="s">
        <v>342</v>
      </c>
      <c r="C113" s="7">
        <v>0</v>
      </c>
      <c r="D113" s="95">
        <v>0</v>
      </c>
      <c r="E113" s="95">
        <v>0</v>
      </c>
      <c r="F113" s="95">
        <v>0</v>
      </c>
      <c r="H113" s="4">
        <v>101</v>
      </c>
      <c r="I113" s="3" t="s">
        <v>342</v>
      </c>
      <c r="J113" s="95">
        <v>136.669999776</v>
      </c>
      <c r="K113" s="95">
        <v>-378.362342738</v>
      </c>
      <c r="L113" s="7">
        <v>-413.62613723700002</v>
      </c>
      <c r="M113" s="7">
        <v>546.40111931599995</v>
      </c>
      <c r="N113" s="5">
        <v>-7946.7114717459999</v>
      </c>
      <c r="O113" s="74">
        <v>-1.3210023983637242</v>
      </c>
      <c r="P113" s="5">
        <v>10715.917075134001</v>
      </c>
      <c r="Q113" s="5">
        <v>0</v>
      </c>
      <c r="R113" s="5">
        <v>0</v>
      </c>
      <c r="S113" s="5">
        <v>7076.921654625</v>
      </c>
      <c r="T113" s="5">
        <v>5805.042204075</v>
      </c>
      <c r="U113" s="74">
        <v>1.3407739317041529E-2</v>
      </c>
      <c r="V113" s="5">
        <v>-172.71801330900001</v>
      </c>
      <c r="W113" s="5">
        <v>-241.60536816300001</v>
      </c>
      <c r="X113" s="5">
        <v>297.99783994000001</v>
      </c>
      <c r="Y113" s="5">
        <v>-61.686044096000003</v>
      </c>
      <c r="Z113" s="5">
        <v>0</v>
      </c>
      <c r="AA113" s="95">
        <v>0</v>
      </c>
      <c r="AB113" s="95">
        <v>0</v>
      </c>
      <c r="AC113" s="5">
        <v>12718.686661243</v>
      </c>
    </row>
    <row r="114" spans="1:29" x14ac:dyDescent="0.25">
      <c r="A114" s="3" t="s">
        <v>8</v>
      </c>
      <c r="B114"/>
      <c r="C114" s="7">
        <v>-1381.1367999999998</v>
      </c>
      <c r="D114" s="95">
        <v>-39202.025600000001</v>
      </c>
      <c r="E114" s="95">
        <v>6997.7518</v>
      </c>
      <c r="F114" s="95">
        <v>249975.81479999999</v>
      </c>
      <c r="H114" s="3" t="s">
        <v>8</v>
      </c>
      <c r="J114" s="95">
        <v>2983534.42002765</v>
      </c>
      <c r="K114" s="95">
        <v>-34245.612338079001</v>
      </c>
      <c r="L114" s="7">
        <v>2949149.1260881564</v>
      </c>
      <c r="M114" s="7">
        <v>46107.82693546699</v>
      </c>
      <c r="N114" s="5">
        <v>-141275.08227964101</v>
      </c>
      <c r="O114" s="74">
        <v>1.5634281266958466E-2</v>
      </c>
      <c r="P114" s="5">
        <v>123974606.73918661</v>
      </c>
      <c r="Q114" s="5">
        <v>703066.6367550249</v>
      </c>
      <c r="R114" s="5">
        <v>91026.682883749992</v>
      </c>
      <c r="S114" s="5">
        <v>204710.58846900001</v>
      </c>
      <c r="T114" s="5">
        <v>290843.84188497503</v>
      </c>
      <c r="U114" s="74">
        <v>7.8207237702953375E-2</v>
      </c>
      <c r="V114" s="5">
        <v>-100859.78813676198</v>
      </c>
      <c r="W114" s="5">
        <v>-38619.910287571998</v>
      </c>
      <c r="X114" s="5">
        <v>78608.073384529998</v>
      </c>
      <c r="Y114" s="5">
        <v>-5727.7704792989998</v>
      </c>
      <c r="Z114" s="5">
        <v>0</v>
      </c>
      <c r="AA114" s="95">
        <v>0</v>
      </c>
      <c r="AB114" s="95">
        <v>-2365632.1281808978</v>
      </c>
      <c r="AC114" s="5">
        <v>-1148581.0857855091</v>
      </c>
    </row>
    <row r="115" spans="1:29" x14ac:dyDescent="0.25">
      <c r="A115"/>
      <c r="B115"/>
    </row>
    <row r="116" spans="1:29" x14ac:dyDescent="0.25">
      <c r="A116"/>
      <c r="B116"/>
    </row>
    <row r="117" spans="1:29" x14ac:dyDescent="0.25">
      <c r="A117"/>
      <c r="B117"/>
    </row>
    <row r="118" spans="1:29" x14ac:dyDescent="0.25">
      <c r="A118"/>
      <c r="B118"/>
    </row>
    <row r="119" spans="1:29" x14ac:dyDescent="0.25">
      <c r="A119"/>
      <c r="B119"/>
    </row>
    <row r="120" spans="1:29" x14ac:dyDescent="0.25">
      <c r="A120"/>
      <c r="B120"/>
    </row>
    <row r="121" spans="1:29" x14ac:dyDescent="0.25">
      <c r="A121"/>
      <c r="B121"/>
    </row>
    <row r="122" spans="1:29" x14ac:dyDescent="0.25">
      <c r="A122"/>
      <c r="B122"/>
    </row>
    <row r="123" spans="1:29" x14ac:dyDescent="0.25">
      <c r="A123"/>
      <c r="B123"/>
    </row>
    <row r="124" spans="1:29" x14ac:dyDescent="0.25">
      <c r="A124"/>
      <c r="B124"/>
    </row>
    <row r="125" spans="1:29" x14ac:dyDescent="0.25">
      <c r="A125"/>
      <c r="B125"/>
    </row>
    <row r="126" spans="1:29" x14ac:dyDescent="0.25">
      <c r="A126"/>
      <c r="B126"/>
    </row>
    <row r="127" spans="1:29" x14ac:dyDescent="0.25">
      <c r="A127"/>
      <c r="B127"/>
    </row>
    <row r="128" spans="1:29" x14ac:dyDescent="0.25">
      <c r="A128"/>
      <c r="B128"/>
    </row>
    <row r="129" spans="1:2" x14ac:dyDescent="0.25">
      <c r="A129"/>
      <c r="B129"/>
    </row>
    <row r="130" spans="1:2" x14ac:dyDescent="0.25">
      <c r="A130"/>
      <c r="B130"/>
    </row>
    <row r="131" spans="1:2" x14ac:dyDescent="0.25">
      <c r="A131"/>
      <c r="B131"/>
    </row>
    <row r="132" spans="1:2" x14ac:dyDescent="0.25">
      <c r="A132"/>
      <c r="B132"/>
    </row>
    <row r="133" spans="1:2" x14ac:dyDescent="0.25">
      <c r="A133"/>
      <c r="B133"/>
    </row>
    <row r="134" spans="1:2" x14ac:dyDescent="0.25">
      <c r="A134"/>
      <c r="B134"/>
    </row>
    <row r="135" spans="1:2" x14ac:dyDescent="0.25">
      <c r="A135"/>
      <c r="B135"/>
    </row>
    <row r="136" spans="1:2" x14ac:dyDescent="0.25">
      <c r="A136"/>
      <c r="B136"/>
    </row>
    <row r="137" spans="1:2" x14ac:dyDescent="0.25">
      <c r="A137"/>
      <c r="B137"/>
    </row>
    <row r="138" spans="1:2" x14ac:dyDescent="0.25">
      <c r="A138"/>
      <c r="B138"/>
    </row>
    <row r="139" spans="1:2" x14ac:dyDescent="0.25">
      <c r="A139"/>
      <c r="B139"/>
    </row>
    <row r="140" spans="1:2" x14ac:dyDescent="0.25">
      <c r="A140"/>
      <c r="B140"/>
    </row>
    <row r="141" spans="1:2" x14ac:dyDescent="0.25">
      <c r="A141"/>
      <c r="B141"/>
    </row>
    <row r="142" spans="1:2" x14ac:dyDescent="0.25">
      <c r="A142"/>
      <c r="B142"/>
    </row>
    <row r="143" spans="1:2" x14ac:dyDescent="0.25">
      <c r="A143"/>
      <c r="B143"/>
    </row>
    <row r="144" spans="1:2" x14ac:dyDescent="0.25">
      <c r="A144"/>
      <c r="B144"/>
    </row>
    <row r="145" spans="1:2" x14ac:dyDescent="0.25">
      <c r="A145"/>
      <c r="B145"/>
    </row>
    <row r="146" spans="1:2" x14ac:dyDescent="0.25">
      <c r="A146"/>
      <c r="B146"/>
    </row>
    <row r="147" spans="1:2" x14ac:dyDescent="0.25">
      <c r="A147"/>
      <c r="B147"/>
    </row>
    <row r="148" spans="1:2" x14ac:dyDescent="0.25">
      <c r="A148"/>
      <c r="B148"/>
    </row>
    <row r="149" spans="1:2" x14ac:dyDescent="0.25">
      <c r="A149"/>
      <c r="B149"/>
    </row>
    <row r="150" spans="1:2" x14ac:dyDescent="0.25">
      <c r="A150"/>
      <c r="B150"/>
    </row>
    <row r="151" spans="1:2" x14ac:dyDescent="0.25">
      <c r="A151"/>
      <c r="B151"/>
    </row>
    <row r="152" spans="1:2" x14ac:dyDescent="0.25">
      <c r="A152"/>
      <c r="B152"/>
    </row>
    <row r="153" spans="1:2" x14ac:dyDescent="0.25">
      <c r="A153"/>
      <c r="B153"/>
    </row>
    <row r="154" spans="1:2" x14ac:dyDescent="0.25">
      <c r="A154"/>
      <c r="B154"/>
    </row>
    <row r="155" spans="1:2" x14ac:dyDescent="0.25">
      <c r="A155"/>
      <c r="B155"/>
    </row>
    <row r="156" spans="1:2" x14ac:dyDescent="0.25">
      <c r="A156"/>
      <c r="B156"/>
    </row>
    <row r="157" spans="1:2" x14ac:dyDescent="0.25">
      <c r="A157"/>
      <c r="B157"/>
    </row>
    <row r="158" spans="1:2" x14ac:dyDescent="0.25">
      <c r="A158"/>
      <c r="B158"/>
    </row>
    <row r="159" spans="1:2" x14ac:dyDescent="0.25">
      <c r="A159"/>
      <c r="B159"/>
    </row>
    <row r="160" spans="1:2" x14ac:dyDescent="0.25">
      <c r="A160"/>
      <c r="B160"/>
    </row>
    <row r="161" spans="1:2" x14ac:dyDescent="0.25">
      <c r="A161"/>
      <c r="B161"/>
    </row>
    <row r="162" spans="1:2" x14ac:dyDescent="0.25">
      <c r="A162"/>
      <c r="B162"/>
    </row>
    <row r="163" spans="1:2" x14ac:dyDescent="0.25">
      <c r="A163"/>
      <c r="B163"/>
    </row>
    <row r="164" spans="1:2" x14ac:dyDescent="0.25">
      <c r="A164"/>
      <c r="B164"/>
    </row>
    <row r="165" spans="1:2" x14ac:dyDescent="0.25">
      <c r="A165"/>
      <c r="B165"/>
    </row>
    <row r="166" spans="1:2" x14ac:dyDescent="0.25">
      <c r="A166"/>
      <c r="B166"/>
    </row>
    <row r="167" spans="1:2" x14ac:dyDescent="0.25">
      <c r="A167"/>
      <c r="B167"/>
    </row>
    <row r="168" spans="1:2" x14ac:dyDescent="0.25">
      <c r="A168"/>
      <c r="B168"/>
    </row>
    <row r="169" spans="1:2" x14ac:dyDescent="0.25">
      <c r="A169"/>
      <c r="B169"/>
    </row>
    <row r="170" spans="1:2" x14ac:dyDescent="0.25">
      <c r="A170"/>
      <c r="B170"/>
    </row>
    <row r="171" spans="1:2" x14ac:dyDescent="0.25">
      <c r="A171"/>
      <c r="B171"/>
    </row>
    <row r="172" spans="1:2" x14ac:dyDescent="0.25">
      <c r="A172"/>
      <c r="B172"/>
    </row>
    <row r="173" spans="1:2" x14ac:dyDescent="0.25">
      <c r="A173"/>
      <c r="B173"/>
    </row>
    <row r="174" spans="1:2" x14ac:dyDescent="0.25">
      <c r="A174"/>
      <c r="B174"/>
    </row>
    <row r="175" spans="1:2" x14ac:dyDescent="0.25">
      <c r="A175"/>
      <c r="B175"/>
    </row>
    <row r="176" spans="1:2" x14ac:dyDescent="0.25">
      <c r="A176"/>
      <c r="B176"/>
    </row>
    <row r="177" spans="1:2" x14ac:dyDescent="0.25">
      <c r="A177"/>
      <c r="B177"/>
    </row>
    <row r="178" spans="1:2" x14ac:dyDescent="0.25">
      <c r="A178"/>
      <c r="B178"/>
    </row>
    <row r="179" spans="1:2" x14ac:dyDescent="0.25">
      <c r="A179"/>
      <c r="B179"/>
    </row>
    <row r="180" spans="1:2" x14ac:dyDescent="0.25">
      <c r="A180"/>
      <c r="B180"/>
    </row>
    <row r="181" spans="1:2" x14ac:dyDescent="0.25">
      <c r="A181"/>
      <c r="B181"/>
    </row>
    <row r="182" spans="1:2" x14ac:dyDescent="0.25">
      <c r="A182"/>
      <c r="B182"/>
    </row>
    <row r="183" spans="1:2" x14ac:dyDescent="0.25">
      <c r="A183"/>
      <c r="B183"/>
    </row>
    <row r="184" spans="1:2" x14ac:dyDescent="0.25">
      <c r="A184"/>
      <c r="B184"/>
    </row>
    <row r="185" spans="1:2" x14ac:dyDescent="0.25">
      <c r="A185"/>
      <c r="B185"/>
    </row>
    <row r="186" spans="1:2" x14ac:dyDescent="0.25">
      <c r="A186"/>
      <c r="B186"/>
    </row>
    <row r="187" spans="1:2" x14ac:dyDescent="0.25">
      <c r="A187"/>
      <c r="B187"/>
    </row>
    <row r="188" spans="1:2" x14ac:dyDescent="0.25">
      <c r="A188"/>
      <c r="B188"/>
    </row>
    <row r="189" spans="1:2" x14ac:dyDescent="0.25">
      <c r="A189"/>
      <c r="B189"/>
    </row>
    <row r="190" spans="1:2" x14ac:dyDescent="0.25">
      <c r="A190"/>
      <c r="B190"/>
    </row>
    <row r="191" spans="1:2" x14ac:dyDescent="0.25">
      <c r="A191"/>
      <c r="B191"/>
    </row>
    <row r="192" spans="1:2" x14ac:dyDescent="0.25">
      <c r="A192"/>
      <c r="B192"/>
    </row>
    <row r="193" spans="1:2" x14ac:dyDescent="0.25">
      <c r="A193"/>
      <c r="B193"/>
    </row>
    <row r="194" spans="1:2" x14ac:dyDescent="0.25">
      <c r="A194"/>
      <c r="B194"/>
    </row>
    <row r="195" spans="1:2" x14ac:dyDescent="0.25">
      <c r="A195"/>
      <c r="B195"/>
    </row>
    <row r="196" spans="1:2" x14ac:dyDescent="0.25">
      <c r="A196"/>
      <c r="B196"/>
    </row>
    <row r="197" spans="1:2" x14ac:dyDescent="0.25">
      <c r="A197"/>
      <c r="B197"/>
    </row>
    <row r="198" spans="1:2" x14ac:dyDescent="0.25">
      <c r="A198"/>
      <c r="B198"/>
    </row>
    <row r="199" spans="1:2" x14ac:dyDescent="0.25">
      <c r="A199"/>
      <c r="B199"/>
    </row>
    <row r="200" spans="1:2" x14ac:dyDescent="0.25">
      <c r="A200"/>
      <c r="B200"/>
    </row>
    <row r="201" spans="1:2" x14ac:dyDescent="0.25">
      <c r="A201"/>
      <c r="B201"/>
    </row>
    <row r="202" spans="1:2" x14ac:dyDescent="0.25">
      <c r="A202"/>
      <c r="B202"/>
    </row>
    <row r="203" spans="1:2" x14ac:dyDescent="0.25">
      <c r="A203"/>
      <c r="B203"/>
    </row>
    <row r="204" spans="1:2" x14ac:dyDescent="0.25">
      <c r="A204"/>
      <c r="B204"/>
    </row>
    <row r="205" spans="1:2" x14ac:dyDescent="0.25">
      <c r="A205"/>
      <c r="B205"/>
    </row>
    <row r="206" spans="1:2" x14ac:dyDescent="0.25">
      <c r="A206"/>
      <c r="B206"/>
    </row>
    <row r="207" spans="1:2" x14ac:dyDescent="0.25">
      <c r="A207"/>
      <c r="B207"/>
    </row>
    <row r="208" spans="1:2" x14ac:dyDescent="0.25">
      <c r="A208"/>
      <c r="B208"/>
    </row>
    <row r="209" spans="1:2" x14ac:dyDescent="0.25">
      <c r="A209"/>
      <c r="B209"/>
    </row>
    <row r="210" spans="1:2" x14ac:dyDescent="0.25">
      <c r="A210"/>
      <c r="B210"/>
    </row>
    <row r="211" spans="1:2" x14ac:dyDescent="0.25">
      <c r="A211"/>
      <c r="B211"/>
    </row>
    <row r="212" spans="1:2" x14ac:dyDescent="0.25">
      <c r="A212"/>
      <c r="B21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75"/>
  <sheetViews>
    <sheetView topLeftCell="A85" workbookViewId="0">
      <selection activeCell="E52" sqref="E52"/>
    </sheetView>
  </sheetViews>
  <sheetFormatPr defaultRowHeight="15" x14ac:dyDescent="0.25"/>
  <sheetData>
    <row r="1" spans="1:8" x14ac:dyDescent="0.25">
      <c r="A1" s="1" t="s">
        <v>0</v>
      </c>
      <c r="B1" s="1" t="s">
        <v>1</v>
      </c>
      <c r="C1" s="1" t="s">
        <v>2</v>
      </c>
      <c r="D1" s="1" t="s">
        <v>3</v>
      </c>
      <c r="E1" s="1" t="s">
        <v>352</v>
      </c>
      <c r="F1" s="1" t="s">
        <v>353</v>
      </c>
      <c r="G1" s="1" t="s">
        <v>354</v>
      </c>
      <c r="H1" s="1" t="s">
        <v>355</v>
      </c>
    </row>
    <row r="2" spans="1:8" x14ac:dyDescent="0.25">
      <c r="A2" s="6" t="s">
        <v>132</v>
      </c>
      <c r="B2" s="6" t="s">
        <v>133</v>
      </c>
      <c r="C2" s="7">
        <v>1</v>
      </c>
      <c r="D2" s="93" t="s">
        <v>4</v>
      </c>
      <c r="E2" s="6">
        <v>0</v>
      </c>
      <c r="F2" s="6">
        <v>0</v>
      </c>
      <c r="G2" s="6">
        <v>0</v>
      </c>
      <c r="H2" s="6">
        <v>0</v>
      </c>
    </row>
    <row r="3" spans="1:8" x14ac:dyDescent="0.25">
      <c r="A3" s="6" t="s">
        <v>132</v>
      </c>
      <c r="B3" s="6" t="s">
        <v>134</v>
      </c>
      <c r="C3" s="7">
        <v>2</v>
      </c>
      <c r="D3" s="93" t="s">
        <v>4</v>
      </c>
      <c r="E3" s="6">
        <v>0</v>
      </c>
      <c r="F3" s="6">
        <v>0</v>
      </c>
      <c r="G3" s="6">
        <v>0</v>
      </c>
      <c r="H3" s="6">
        <v>0</v>
      </c>
    </row>
    <row r="4" spans="1:8" x14ac:dyDescent="0.25">
      <c r="A4" s="6" t="s">
        <v>132</v>
      </c>
      <c r="B4" s="6" t="s">
        <v>135</v>
      </c>
      <c r="C4" s="7">
        <v>3</v>
      </c>
      <c r="D4" s="93" t="s">
        <v>4</v>
      </c>
      <c r="E4" s="6">
        <v>0</v>
      </c>
      <c r="F4" s="6">
        <v>0</v>
      </c>
      <c r="G4" s="6">
        <v>0</v>
      </c>
      <c r="H4" s="6">
        <v>0</v>
      </c>
    </row>
    <row r="5" spans="1:8" x14ac:dyDescent="0.25">
      <c r="A5" s="6" t="s">
        <v>132</v>
      </c>
      <c r="B5" s="6" t="s">
        <v>136</v>
      </c>
      <c r="C5" s="7">
        <v>4</v>
      </c>
      <c r="D5" s="93" t="s">
        <v>4</v>
      </c>
      <c r="E5" s="6">
        <v>0</v>
      </c>
      <c r="F5" s="6">
        <v>0</v>
      </c>
      <c r="G5" s="6">
        <v>0</v>
      </c>
      <c r="H5" s="6">
        <v>0</v>
      </c>
    </row>
    <row r="6" spans="1:8" x14ac:dyDescent="0.25">
      <c r="A6" s="6" t="s">
        <v>132</v>
      </c>
      <c r="B6" s="6" t="s">
        <v>137</v>
      </c>
      <c r="C6" s="7">
        <v>5</v>
      </c>
      <c r="D6" s="93" t="s">
        <v>4</v>
      </c>
      <c r="E6" s="6">
        <v>0</v>
      </c>
      <c r="F6" s="6">
        <v>0</v>
      </c>
      <c r="G6" s="6">
        <v>0</v>
      </c>
      <c r="H6" s="6">
        <v>0</v>
      </c>
    </row>
    <row r="7" spans="1:8" x14ac:dyDescent="0.25">
      <c r="A7" s="6" t="s">
        <v>132</v>
      </c>
      <c r="B7" s="6" t="s">
        <v>138</v>
      </c>
      <c r="C7" s="7">
        <v>6</v>
      </c>
      <c r="D7" s="93" t="s">
        <v>4</v>
      </c>
      <c r="E7" s="6">
        <v>0</v>
      </c>
      <c r="F7" s="6">
        <v>0</v>
      </c>
      <c r="G7" s="6">
        <v>0</v>
      </c>
      <c r="H7" s="6">
        <v>0</v>
      </c>
    </row>
    <row r="8" spans="1:8" x14ac:dyDescent="0.25">
      <c r="A8" s="6" t="s">
        <v>132</v>
      </c>
      <c r="B8" s="6" t="s">
        <v>139</v>
      </c>
      <c r="C8" s="7">
        <v>7</v>
      </c>
      <c r="D8" s="93" t="s">
        <v>4</v>
      </c>
      <c r="E8" s="6">
        <v>0</v>
      </c>
      <c r="F8" s="6">
        <v>0</v>
      </c>
      <c r="G8" s="6">
        <v>0</v>
      </c>
      <c r="H8" s="6">
        <v>0</v>
      </c>
    </row>
    <row r="9" spans="1:8" x14ac:dyDescent="0.25">
      <c r="A9" s="6" t="s">
        <v>132</v>
      </c>
      <c r="B9" s="6" t="s">
        <v>140</v>
      </c>
      <c r="C9" s="7">
        <v>8</v>
      </c>
      <c r="D9" s="93" t="s">
        <v>4</v>
      </c>
      <c r="E9" s="6">
        <v>0</v>
      </c>
      <c r="F9" s="6">
        <v>0</v>
      </c>
      <c r="G9" s="6">
        <v>0</v>
      </c>
      <c r="H9" s="6">
        <v>0</v>
      </c>
    </row>
    <row r="10" spans="1:8" x14ac:dyDescent="0.25">
      <c r="A10" s="6" t="s">
        <v>132</v>
      </c>
      <c r="B10" s="6" t="s">
        <v>141</v>
      </c>
      <c r="C10" s="7">
        <v>9</v>
      </c>
      <c r="D10" s="93" t="s">
        <v>4</v>
      </c>
      <c r="E10" s="6">
        <v>0</v>
      </c>
      <c r="F10" s="6">
        <v>0</v>
      </c>
      <c r="G10" s="6">
        <v>0</v>
      </c>
      <c r="H10" s="6">
        <v>0</v>
      </c>
    </row>
    <row r="11" spans="1:8" x14ac:dyDescent="0.25">
      <c r="A11" s="6" t="s">
        <v>132</v>
      </c>
      <c r="B11" s="6" t="s">
        <v>142</v>
      </c>
      <c r="C11" s="7">
        <v>10</v>
      </c>
      <c r="D11" s="93" t="s">
        <v>4</v>
      </c>
      <c r="E11" s="6">
        <v>0</v>
      </c>
      <c r="F11" s="6">
        <v>0</v>
      </c>
      <c r="G11" s="6">
        <v>0</v>
      </c>
      <c r="H11" s="6">
        <v>0</v>
      </c>
    </row>
    <row r="12" spans="1:8" x14ac:dyDescent="0.25">
      <c r="A12" s="6" t="s">
        <v>132</v>
      </c>
      <c r="B12" s="6" t="s">
        <v>143</v>
      </c>
      <c r="C12" s="7">
        <v>11</v>
      </c>
      <c r="D12" s="93" t="s">
        <v>4</v>
      </c>
      <c r="E12" s="6">
        <v>0</v>
      </c>
      <c r="F12" s="6">
        <v>0</v>
      </c>
      <c r="G12" s="6">
        <v>0</v>
      </c>
      <c r="H12" s="6">
        <v>0</v>
      </c>
    </row>
    <row r="13" spans="1:8" x14ac:dyDescent="0.25">
      <c r="A13" s="6" t="s">
        <v>132</v>
      </c>
      <c r="B13" s="6" t="s">
        <v>144</v>
      </c>
      <c r="C13" s="7">
        <v>12</v>
      </c>
      <c r="D13" s="93" t="s">
        <v>4</v>
      </c>
      <c r="E13" s="6">
        <v>0</v>
      </c>
      <c r="F13" s="6">
        <v>0</v>
      </c>
      <c r="G13" s="6">
        <v>0</v>
      </c>
      <c r="H13" s="6">
        <v>0</v>
      </c>
    </row>
    <row r="14" spans="1:8" x14ac:dyDescent="0.25">
      <c r="A14" s="6" t="s">
        <v>132</v>
      </c>
      <c r="B14" s="6" t="s">
        <v>145</v>
      </c>
      <c r="C14" s="7">
        <v>13</v>
      </c>
      <c r="D14" s="93" t="s">
        <v>4</v>
      </c>
      <c r="E14" s="6">
        <v>0</v>
      </c>
      <c r="F14" s="6">
        <v>0</v>
      </c>
      <c r="G14" s="6">
        <v>0</v>
      </c>
      <c r="H14" s="6">
        <v>0</v>
      </c>
    </row>
    <row r="15" spans="1:8" x14ac:dyDescent="0.25">
      <c r="A15" s="6" t="s">
        <v>132</v>
      </c>
      <c r="B15" s="6" t="s">
        <v>146</v>
      </c>
      <c r="C15" s="7">
        <v>14</v>
      </c>
      <c r="D15" s="93" t="s">
        <v>4</v>
      </c>
      <c r="E15" s="6">
        <v>0</v>
      </c>
      <c r="F15" s="6">
        <v>0</v>
      </c>
      <c r="G15" s="6">
        <v>0</v>
      </c>
      <c r="H15" s="6">
        <v>0</v>
      </c>
    </row>
    <row r="16" spans="1:8" x14ac:dyDescent="0.25">
      <c r="A16" s="6" t="s">
        <v>132</v>
      </c>
      <c r="B16" s="6" t="s">
        <v>147</v>
      </c>
      <c r="C16" s="7">
        <v>15</v>
      </c>
      <c r="D16" s="93" t="s">
        <v>4</v>
      </c>
      <c r="E16" s="6">
        <v>0</v>
      </c>
      <c r="F16" s="6">
        <v>0</v>
      </c>
      <c r="G16" s="6">
        <v>0</v>
      </c>
      <c r="H16" s="6">
        <v>0</v>
      </c>
    </row>
    <row r="17" spans="1:8" x14ac:dyDescent="0.25">
      <c r="A17" s="6" t="s">
        <v>132</v>
      </c>
      <c r="B17" s="6" t="s">
        <v>148</v>
      </c>
      <c r="C17" s="7">
        <v>16</v>
      </c>
      <c r="D17" s="93" t="s">
        <v>4</v>
      </c>
      <c r="E17" s="6">
        <v>0</v>
      </c>
      <c r="F17" s="6">
        <v>0</v>
      </c>
      <c r="G17" s="6">
        <v>0</v>
      </c>
      <c r="H17" s="6">
        <v>0</v>
      </c>
    </row>
    <row r="18" spans="1:8" x14ac:dyDescent="0.25">
      <c r="A18" s="6" t="s">
        <v>132</v>
      </c>
      <c r="B18" s="6" t="s">
        <v>149</v>
      </c>
      <c r="C18" s="7">
        <v>17</v>
      </c>
      <c r="D18" s="93" t="s">
        <v>4</v>
      </c>
      <c r="E18" s="6">
        <v>0</v>
      </c>
      <c r="F18" s="6">
        <v>0</v>
      </c>
      <c r="G18" s="6">
        <v>0</v>
      </c>
      <c r="H18" s="6">
        <v>0</v>
      </c>
    </row>
    <row r="19" spans="1:8" x14ac:dyDescent="0.25">
      <c r="A19" s="6" t="s">
        <v>132</v>
      </c>
      <c r="B19" s="6" t="s">
        <v>150</v>
      </c>
      <c r="C19" s="7">
        <v>18</v>
      </c>
      <c r="D19" s="93" t="s">
        <v>4</v>
      </c>
      <c r="E19" s="6">
        <v>0</v>
      </c>
      <c r="F19" s="6">
        <v>0</v>
      </c>
      <c r="G19" s="6">
        <v>0</v>
      </c>
      <c r="H19" s="6">
        <v>0</v>
      </c>
    </row>
    <row r="20" spans="1:8" x14ac:dyDescent="0.25">
      <c r="A20" s="6" t="s">
        <v>132</v>
      </c>
      <c r="B20" s="6" t="s">
        <v>151</v>
      </c>
      <c r="C20" s="7">
        <v>19</v>
      </c>
      <c r="D20" s="93" t="s">
        <v>4</v>
      </c>
      <c r="E20" s="6">
        <v>0</v>
      </c>
      <c r="F20" s="6">
        <v>0</v>
      </c>
      <c r="G20" s="6">
        <v>0</v>
      </c>
      <c r="H20" s="6">
        <v>0</v>
      </c>
    </row>
    <row r="21" spans="1:8" x14ac:dyDescent="0.25">
      <c r="A21" s="6" t="s">
        <v>132</v>
      </c>
      <c r="B21" s="6" t="s">
        <v>152</v>
      </c>
      <c r="C21" s="7">
        <v>20</v>
      </c>
      <c r="D21" s="93" t="s">
        <v>4</v>
      </c>
      <c r="E21" s="6">
        <v>0</v>
      </c>
      <c r="F21" s="6">
        <v>0</v>
      </c>
      <c r="G21" s="6">
        <v>0</v>
      </c>
      <c r="H21" s="6">
        <v>0</v>
      </c>
    </row>
    <row r="22" spans="1:8" x14ac:dyDescent="0.25">
      <c r="A22" s="6" t="s">
        <v>132</v>
      </c>
      <c r="B22" s="6" t="s">
        <v>153</v>
      </c>
      <c r="C22" s="7">
        <v>21</v>
      </c>
      <c r="D22" s="93" t="s">
        <v>4</v>
      </c>
      <c r="E22" s="6">
        <v>0</v>
      </c>
      <c r="F22" s="6">
        <v>0</v>
      </c>
      <c r="G22" s="6">
        <v>0</v>
      </c>
      <c r="H22" s="6">
        <v>0</v>
      </c>
    </row>
    <row r="23" spans="1:8" x14ac:dyDescent="0.25">
      <c r="A23" s="6" t="s">
        <v>154</v>
      </c>
      <c r="B23" s="6" t="s">
        <v>155</v>
      </c>
      <c r="C23" s="7">
        <v>22</v>
      </c>
      <c r="D23" s="93" t="s">
        <v>4</v>
      </c>
      <c r="E23" s="6">
        <v>0</v>
      </c>
      <c r="F23" s="6">
        <v>0</v>
      </c>
      <c r="G23" s="6">
        <v>0</v>
      </c>
      <c r="H23" s="6">
        <v>0</v>
      </c>
    </row>
    <row r="24" spans="1:8" x14ac:dyDescent="0.25">
      <c r="A24" s="6" t="s">
        <v>154</v>
      </c>
      <c r="B24" s="6" t="s">
        <v>156</v>
      </c>
      <c r="C24" s="7">
        <v>23</v>
      </c>
      <c r="D24" s="93" t="s">
        <v>4</v>
      </c>
      <c r="E24" s="6">
        <v>0</v>
      </c>
      <c r="F24" s="6">
        <v>0</v>
      </c>
      <c r="G24" s="6">
        <v>0</v>
      </c>
      <c r="H24" s="6">
        <v>0</v>
      </c>
    </row>
    <row r="25" spans="1:8" x14ac:dyDescent="0.25">
      <c r="A25" s="6" t="s">
        <v>154</v>
      </c>
      <c r="B25" s="6" t="s">
        <v>157</v>
      </c>
      <c r="C25" s="7">
        <v>24</v>
      </c>
      <c r="D25" s="93" t="s">
        <v>4</v>
      </c>
      <c r="E25" s="6">
        <v>0</v>
      </c>
      <c r="F25" s="6">
        <v>0</v>
      </c>
      <c r="G25" s="6">
        <v>0</v>
      </c>
      <c r="H25" s="6">
        <v>0</v>
      </c>
    </row>
    <row r="26" spans="1:8" x14ac:dyDescent="0.25">
      <c r="A26" s="6" t="s">
        <v>154</v>
      </c>
      <c r="B26" s="6" t="s">
        <v>158</v>
      </c>
      <c r="C26" s="7">
        <v>25</v>
      </c>
      <c r="D26" s="93" t="s">
        <v>4</v>
      </c>
      <c r="E26" s="6">
        <v>0</v>
      </c>
      <c r="F26" s="6">
        <v>0</v>
      </c>
      <c r="G26" s="6">
        <v>0</v>
      </c>
      <c r="H26" s="6">
        <v>0</v>
      </c>
    </row>
    <row r="27" spans="1:8" x14ac:dyDescent="0.25">
      <c r="A27" s="6" t="s">
        <v>154</v>
      </c>
      <c r="B27" s="6" t="s">
        <v>159</v>
      </c>
      <c r="C27" s="7">
        <v>26</v>
      </c>
      <c r="D27" s="93" t="s">
        <v>4</v>
      </c>
      <c r="E27" s="6">
        <v>0</v>
      </c>
      <c r="F27" s="6">
        <v>0</v>
      </c>
      <c r="G27" s="6">
        <v>0</v>
      </c>
      <c r="H27" s="6">
        <v>0</v>
      </c>
    </row>
    <row r="28" spans="1:8" x14ac:dyDescent="0.25">
      <c r="A28" s="6" t="s">
        <v>154</v>
      </c>
      <c r="B28" s="6" t="s">
        <v>160</v>
      </c>
      <c r="C28" s="7">
        <v>27</v>
      </c>
      <c r="D28" s="93" t="s">
        <v>4</v>
      </c>
      <c r="E28" s="6">
        <v>0</v>
      </c>
      <c r="F28" s="6">
        <v>0</v>
      </c>
      <c r="G28" s="6">
        <v>0</v>
      </c>
      <c r="H28" s="6">
        <v>0</v>
      </c>
    </row>
    <row r="29" spans="1:8" x14ac:dyDescent="0.25">
      <c r="A29" s="6" t="s">
        <v>154</v>
      </c>
      <c r="B29" s="6" t="s">
        <v>161</v>
      </c>
      <c r="C29" s="7">
        <v>28</v>
      </c>
      <c r="D29" s="93" t="s">
        <v>4</v>
      </c>
      <c r="E29" s="6">
        <v>0</v>
      </c>
      <c r="F29" s="6">
        <v>0</v>
      </c>
      <c r="G29" s="6">
        <v>0</v>
      </c>
      <c r="H29" s="6">
        <v>0</v>
      </c>
    </row>
    <row r="30" spans="1:8" x14ac:dyDescent="0.25">
      <c r="A30" s="6" t="s">
        <v>154</v>
      </c>
      <c r="B30" s="6" t="s">
        <v>162</v>
      </c>
      <c r="C30" s="7">
        <v>29</v>
      </c>
      <c r="D30" s="93" t="s">
        <v>4</v>
      </c>
      <c r="E30" s="6">
        <v>0</v>
      </c>
      <c r="F30" s="6">
        <v>0</v>
      </c>
      <c r="G30" s="6">
        <v>0</v>
      </c>
      <c r="H30" s="6">
        <v>0</v>
      </c>
    </row>
    <row r="31" spans="1:8" x14ac:dyDescent="0.25">
      <c r="A31" s="6" t="s">
        <v>154</v>
      </c>
      <c r="B31" s="6" t="s">
        <v>163</v>
      </c>
      <c r="C31" s="7">
        <v>30</v>
      </c>
      <c r="D31" s="93" t="s">
        <v>4</v>
      </c>
      <c r="E31" s="6">
        <v>0</v>
      </c>
      <c r="F31" s="6">
        <v>0</v>
      </c>
      <c r="G31" s="6">
        <v>0</v>
      </c>
      <c r="H31" s="6">
        <v>0</v>
      </c>
    </row>
    <row r="32" spans="1:8" x14ac:dyDescent="0.25">
      <c r="A32" s="6" t="s">
        <v>154</v>
      </c>
      <c r="B32" s="6" t="s">
        <v>164</v>
      </c>
      <c r="C32" s="7">
        <v>31</v>
      </c>
      <c r="D32" s="93" t="s">
        <v>4</v>
      </c>
      <c r="E32" s="6">
        <v>0</v>
      </c>
      <c r="F32" s="6">
        <v>0</v>
      </c>
      <c r="G32" s="6">
        <v>0</v>
      </c>
      <c r="H32" s="6">
        <v>0</v>
      </c>
    </row>
    <row r="33" spans="1:8" x14ac:dyDescent="0.25">
      <c r="A33" s="6" t="s">
        <v>154</v>
      </c>
      <c r="B33" s="6" t="s">
        <v>165</v>
      </c>
      <c r="C33" s="7">
        <v>32</v>
      </c>
      <c r="D33" s="93" t="s">
        <v>4</v>
      </c>
      <c r="E33" s="6">
        <v>0</v>
      </c>
      <c r="F33" s="6">
        <v>0</v>
      </c>
      <c r="G33" s="6">
        <v>0</v>
      </c>
      <c r="H33" s="6">
        <v>0</v>
      </c>
    </row>
    <row r="34" spans="1:8" x14ac:dyDescent="0.25">
      <c r="A34" s="6" t="s">
        <v>154</v>
      </c>
      <c r="B34" s="6" t="s">
        <v>166</v>
      </c>
      <c r="C34" s="7">
        <v>33</v>
      </c>
      <c r="D34" s="93" t="s">
        <v>4</v>
      </c>
      <c r="E34" s="6">
        <v>0</v>
      </c>
      <c r="F34" s="6">
        <v>0</v>
      </c>
      <c r="G34" s="6">
        <v>0</v>
      </c>
      <c r="H34" s="6">
        <v>0</v>
      </c>
    </row>
    <row r="35" spans="1:8" x14ac:dyDescent="0.25">
      <c r="A35" s="6" t="s">
        <v>154</v>
      </c>
      <c r="B35" s="6" t="s">
        <v>167</v>
      </c>
      <c r="C35" s="7">
        <v>34</v>
      </c>
      <c r="D35" s="93" t="s">
        <v>4</v>
      </c>
      <c r="E35" s="6">
        <v>0</v>
      </c>
      <c r="F35" s="6">
        <v>0</v>
      </c>
      <c r="G35" s="6">
        <v>0</v>
      </c>
      <c r="H35" s="6">
        <v>0</v>
      </c>
    </row>
    <row r="36" spans="1:8" x14ac:dyDescent="0.25">
      <c r="A36" s="6" t="s">
        <v>154</v>
      </c>
      <c r="B36" s="6" t="s">
        <v>168</v>
      </c>
      <c r="C36" s="7">
        <v>35</v>
      </c>
      <c r="D36" s="93" t="s">
        <v>4</v>
      </c>
      <c r="E36" s="6">
        <v>0</v>
      </c>
      <c r="F36" s="6">
        <v>0</v>
      </c>
      <c r="G36" s="6">
        <v>0</v>
      </c>
      <c r="H36" s="6">
        <v>0</v>
      </c>
    </row>
    <row r="37" spans="1:8" x14ac:dyDescent="0.25">
      <c r="A37" s="6" t="s">
        <v>154</v>
      </c>
      <c r="B37" s="6" t="s">
        <v>169</v>
      </c>
      <c r="C37" s="7">
        <v>36</v>
      </c>
      <c r="D37" s="93" t="s">
        <v>4</v>
      </c>
      <c r="E37" s="6">
        <v>0</v>
      </c>
      <c r="F37" s="6">
        <v>0</v>
      </c>
      <c r="G37" s="6">
        <v>0</v>
      </c>
      <c r="H37" s="6">
        <v>0</v>
      </c>
    </row>
    <row r="38" spans="1:8" x14ac:dyDescent="0.25">
      <c r="A38" s="6" t="s">
        <v>154</v>
      </c>
      <c r="B38" s="6" t="s">
        <v>170</v>
      </c>
      <c r="C38" s="7">
        <v>37</v>
      </c>
      <c r="D38" s="93" t="s">
        <v>4</v>
      </c>
      <c r="E38" s="6">
        <v>0</v>
      </c>
      <c r="F38" s="6">
        <v>0</v>
      </c>
      <c r="G38" s="6">
        <v>0</v>
      </c>
      <c r="H38" s="6">
        <v>0</v>
      </c>
    </row>
    <row r="39" spans="1:8" x14ac:dyDescent="0.25">
      <c r="A39" s="6" t="s">
        <v>154</v>
      </c>
      <c r="B39" s="6" t="s">
        <v>171</v>
      </c>
      <c r="C39" s="7">
        <v>38</v>
      </c>
      <c r="D39" s="93" t="s">
        <v>4</v>
      </c>
      <c r="E39" s="6">
        <v>0</v>
      </c>
      <c r="F39" s="6">
        <v>0</v>
      </c>
      <c r="G39" s="6">
        <v>0</v>
      </c>
      <c r="H39" s="6">
        <v>0</v>
      </c>
    </row>
    <row r="40" spans="1:8" x14ac:dyDescent="0.25">
      <c r="A40" s="6" t="s">
        <v>154</v>
      </c>
      <c r="B40" s="6" t="s">
        <v>172</v>
      </c>
      <c r="C40" s="7">
        <v>39</v>
      </c>
      <c r="D40" s="93" t="s">
        <v>4</v>
      </c>
      <c r="E40" s="6">
        <v>0</v>
      </c>
      <c r="F40" s="6">
        <v>0</v>
      </c>
      <c r="G40" s="6">
        <v>0</v>
      </c>
      <c r="H40" s="6">
        <v>0</v>
      </c>
    </row>
    <row r="41" spans="1:8" x14ac:dyDescent="0.25">
      <c r="A41" s="6" t="s">
        <v>173</v>
      </c>
      <c r="B41" s="6" t="s">
        <v>174</v>
      </c>
      <c r="C41" s="7">
        <v>40</v>
      </c>
      <c r="D41" s="93" t="s">
        <v>4</v>
      </c>
      <c r="E41" s="6">
        <v>0</v>
      </c>
      <c r="F41" s="6">
        <v>0</v>
      </c>
      <c r="G41" s="6">
        <v>0</v>
      </c>
      <c r="H41" s="6">
        <v>0</v>
      </c>
    </row>
    <row r="42" spans="1:8" x14ac:dyDescent="0.25">
      <c r="A42" s="6" t="s">
        <v>173</v>
      </c>
      <c r="B42" s="6" t="s">
        <v>175</v>
      </c>
      <c r="C42" s="7">
        <v>41</v>
      </c>
      <c r="D42" s="93" t="s">
        <v>4</v>
      </c>
      <c r="E42" s="6">
        <v>0</v>
      </c>
      <c r="F42" s="6">
        <v>0</v>
      </c>
      <c r="G42" s="6">
        <v>0</v>
      </c>
      <c r="H42" s="6">
        <v>0</v>
      </c>
    </row>
    <row r="43" spans="1:8" x14ac:dyDescent="0.25">
      <c r="A43" s="6" t="s">
        <v>173</v>
      </c>
      <c r="B43" s="6" t="s">
        <v>176</v>
      </c>
      <c r="C43" s="7">
        <v>42</v>
      </c>
      <c r="D43" s="93" t="s">
        <v>4</v>
      </c>
      <c r="E43" s="6">
        <v>0</v>
      </c>
      <c r="F43" s="6">
        <v>0</v>
      </c>
      <c r="G43" s="6">
        <v>0</v>
      </c>
      <c r="H43" s="6">
        <v>0</v>
      </c>
    </row>
    <row r="44" spans="1:8" x14ac:dyDescent="0.25">
      <c r="A44" s="6" t="s">
        <v>173</v>
      </c>
      <c r="B44" s="6" t="s">
        <v>177</v>
      </c>
      <c r="C44" s="7">
        <v>43</v>
      </c>
      <c r="D44" s="93" t="s">
        <v>4</v>
      </c>
      <c r="E44" s="6">
        <v>0</v>
      </c>
      <c r="F44" s="6">
        <v>0</v>
      </c>
      <c r="G44" s="6">
        <v>0</v>
      </c>
      <c r="H44" s="6">
        <v>0</v>
      </c>
    </row>
    <row r="45" spans="1:8" x14ac:dyDescent="0.25">
      <c r="A45" s="6" t="s">
        <v>173</v>
      </c>
      <c r="B45" s="6" t="s">
        <v>178</v>
      </c>
      <c r="C45" s="7">
        <v>44</v>
      </c>
      <c r="D45" s="93" t="s">
        <v>4</v>
      </c>
      <c r="E45" s="6">
        <v>0</v>
      </c>
      <c r="F45" s="6">
        <v>0</v>
      </c>
      <c r="G45" s="6">
        <v>0</v>
      </c>
      <c r="H45" s="6">
        <v>0</v>
      </c>
    </row>
    <row r="46" spans="1:8" x14ac:dyDescent="0.25">
      <c r="A46" s="6" t="s">
        <v>173</v>
      </c>
      <c r="B46" s="6" t="s">
        <v>179</v>
      </c>
      <c r="C46" s="7">
        <v>45</v>
      </c>
      <c r="D46" s="93" t="s">
        <v>4</v>
      </c>
      <c r="E46" s="6">
        <v>0</v>
      </c>
      <c r="F46" s="6">
        <v>0</v>
      </c>
      <c r="G46" s="6">
        <v>0</v>
      </c>
      <c r="H46" s="6">
        <v>0</v>
      </c>
    </row>
    <row r="47" spans="1:8" x14ac:dyDescent="0.25">
      <c r="A47" s="6" t="s">
        <v>173</v>
      </c>
      <c r="B47" s="6" t="s">
        <v>180</v>
      </c>
      <c r="C47" s="7">
        <v>46</v>
      </c>
      <c r="D47" s="93" t="s">
        <v>4</v>
      </c>
      <c r="E47" s="6">
        <v>0</v>
      </c>
      <c r="F47" s="6">
        <v>0</v>
      </c>
      <c r="G47" s="6">
        <v>0</v>
      </c>
      <c r="H47" s="6">
        <v>0</v>
      </c>
    </row>
    <row r="48" spans="1:8" x14ac:dyDescent="0.25">
      <c r="A48" s="6" t="s">
        <v>173</v>
      </c>
      <c r="B48" s="6" t="s">
        <v>181</v>
      </c>
      <c r="C48" s="7">
        <v>47</v>
      </c>
      <c r="D48" s="93" t="s">
        <v>4</v>
      </c>
      <c r="E48" s="6">
        <v>0</v>
      </c>
      <c r="F48" s="6">
        <v>0</v>
      </c>
      <c r="G48" s="6">
        <v>0</v>
      </c>
      <c r="H48" s="6">
        <v>0</v>
      </c>
    </row>
    <row r="49" spans="1:8" x14ac:dyDescent="0.25">
      <c r="A49" s="6" t="s">
        <v>173</v>
      </c>
      <c r="B49" s="6" t="s">
        <v>182</v>
      </c>
      <c r="C49" s="7">
        <v>48</v>
      </c>
      <c r="D49" s="93" t="s">
        <v>4</v>
      </c>
      <c r="E49" s="6">
        <v>0</v>
      </c>
      <c r="F49" s="6">
        <v>0</v>
      </c>
      <c r="G49" s="6">
        <v>0</v>
      </c>
      <c r="H49" s="6">
        <v>0</v>
      </c>
    </row>
    <row r="50" spans="1:8" x14ac:dyDescent="0.25">
      <c r="A50" s="6" t="s">
        <v>173</v>
      </c>
      <c r="B50" s="6" t="s">
        <v>183</v>
      </c>
      <c r="C50" s="7">
        <v>49</v>
      </c>
      <c r="D50" s="93" t="s">
        <v>4</v>
      </c>
      <c r="E50" s="6">
        <v>0</v>
      </c>
      <c r="F50" s="6">
        <v>0</v>
      </c>
      <c r="G50" s="6">
        <v>0</v>
      </c>
      <c r="H50" s="6">
        <v>0</v>
      </c>
    </row>
    <row r="51" spans="1:8" x14ac:dyDescent="0.25">
      <c r="A51" s="6" t="s">
        <v>173</v>
      </c>
      <c r="B51" s="6" t="s">
        <v>184</v>
      </c>
      <c r="C51" s="7">
        <v>50</v>
      </c>
      <c r="D51" s="93" t="s">
        <v>4</v>
      </c>
      <c r="E51" s="6">
        <v>0</v>
      </c>
      <c r="F51" s="6">
        <v>0</v>
      </c>
      <c r="G51" s="6">
        <v>0</v>
      </c>
      <c r="H51" s="6">
        <v>0</v>
      </c>
    </row>
    <row r="52" spans="1:8" x14ac:dyDescent="0.25">
      <c r="A52" s="6" t="s">
        <v>173</v>
      </c>
      <c r="B52" s="6" t="s">
        <v>185</v>
      </c>
      <c r="C52" s="7">
        <v>51</v>
      </c>
      <c r="D52" s="93" t="s">
        <v>4</v>
      </c>
      <c r="E52" s="6">
        <v>0</v>
      </c>
      <c r="F52" s="6">
        <v>0</v>
      </c>
      <c r="G52" s="6">
        <v>0</v>
      </c>
      <c r="H52" s="6">
        <v>0</v>
      </c>
    </row>
    <row r="53" spans="1:8" x14ac:dyDescent="0.25">
      <c r="A53" s="6" t="s">
        <v>173</v>
      </c>
      <c r="B53" s="6" t="s">
        <v>186</v>
      </c>
      <c r="C53" s="7">
        <v>52</v>
      </c>
      <c r="D53" s="93" t="s">
        <v>4</v>
      </c>
      <c r="E53" s="6">
        <v>0</v>
      </c>
      <c r="F53" s="6">
        <v>0</v>
      </c>
      <c r="G53" s="6">
        <v>0</v>
      </c>
      <c r="H53" s="6">
        <v>0</v>
      </c>
    </row>
    <row r="54" spans="1:8" x14ac:dyDescent="0.25">
      <c r="A54" s="6" t="s">
        <v>173</v>
      </c>
      <c r="B54" s="6" t="s">
        <v>187</v>
      </c>
      <c r="C54" s="7">
        <v>53</v>
      </c>
      <c r="D54" s="93" t="s">
        <v>4</v>
      </c>
      <c r="E54" s="6">
        <v>0</v>
      </c>
      <c r="F54" s="6">
        <v>0</v>
      </c>
      <c r="G54" s="6">
        <v>0</v>
      </c>
      <c r="H54" s="6">
        <v>0</v>
      </c>
    </row>
    <row r="55" spans="1:8" x14ac:dyDescent="0.25">
      <c r="A55" s="6" t="s">
        <v>173</v>
      </c>
      <c r="B55" s="6" t="s">
        <v>188</v>
      </c>
      <c r="C55" s="7">
        <v>54</v>
      </c>
      <c r="D55" s="93" t="s">
        <v>4</v>
      </c>
      <c r="E55" s="6">
        <v>0</v>
      </c>
      <c r="F55" s="6">
        <v>0</v>
      </c>
      <c r="G55" s="6">
        <v>0</v>
      </c>
      <c r="H55" s="6">
        <v>0</v>
      </c>
    </row>
    <row r="56" spans="1:8" x14ac:dyDescent="0.25">
      <c r="A56" s="6" t="s">
        <v>173</v>
      </c>
      <c r="B56" s="6" t="s">
        <v>189</v>
      </c>
      <c r="C56" s="7">
        <v>55</v>
      </c>
      <c r="D56" s="93" t="s">
        <v>4</v>
      </c>
      <c r="E56" s="6">
        <v>0</v>
      </c>
      <c r="F56" s="6">
        <v>0</v>
      </c>
      <c r="G56" s="6">
        <v>0</v>
      </c>
      <c r="H56" s="6">
        <v>0</v>
      </c>
    </row>
    <row r="57" spans="1:8" x14ac:dyDescent="0.25">
      <c r="A57" s="6" t="s">
        <v>173</v>
      </c>
      <c r="B57" s="6" t="s">
        <v>190</v>
      </c>
      <c r="C57" s="7">
        <v>56</v>
      </c>
      <c r="D57" s="93" t="s">
        <v>4</v>
      </c>
      <c r="E57" s="6">
        <v>0</v>
      </c>
      <c r="F57" s="6">
        <v>0</v>
      </c>
      <c r="G57" s="6">
        <v>0</v>
      </c>
      <c r="H57" s="6">
        <v>0</v>
      </c>
    </row>
    <row r="58" spans="1:8" x14ac:dyDescent="0.25">
      <c r="A58" s="6" t="s">
        <v>173</v>
      </c>
      <c r="B58" s="6" t="s">
        <v>191</v>
      </c>
      <c r="C58" s="7">
        <v>57</v>
      </c>
      <c r="D58" s="93" t="s">
        <v>4</v>
      </c>
      <c r="E58" s="6">
        <v>0</v>
      </c>
      <c r="F58" s="6">
        <v>0</v>
      </c>
      <c r="G58" s="6">
        <v>0</v>
      </c>
      <c r="H58" s="6">
        <v>0</v>
      </c>
    </row>
    <row r="59" spans="1:8" x14ac:dyDescent="0.25">
      <c r="A59" s="6" t="s">
        <v>173</v>
      </c>
      <c r="B59" s="6" t="s">
        <v>192</v>
      </c>
      <c r="C59" s="7">
        <v>58</v>
      </c>
      <c r="D59" s="93" t="s">
        <v>4</v>
      </c>
      <c r="E59" s="6">
        <v>0</v>
      </c>
      <c r="F59" s="6">
        <v>0</v>
      </c>
      <c r="G59" s="6">
        <v>0</v>
      </c>
      <c r="H59" s="6">
        <v>0</v>
      </c>
    </row>
    <row r="60" spans="1:8" x14ac:dyDescent="0.25">
      <c r="A60" s="6" t="s">
        <v>173</v>
      </c>
      <c r="B60" s="6" t="s">
        <v>193</v>
      </c>
      <c r="C60" s="7">
        <v>59</v>
      </c>
      <c r="D60" s="93" t="s">
        <v>4</v>
      </c>
      <c r="E60" s="6">
        <v>0</v>
      </c>
      <c r="F60" s="6">
        <v>0</v>
      </c>
      <c r="G60" s="6">
        <v>0</v>
      </c>
      <c r="H60" s="6">
        <v>0</v>
      </c>
    </row>
    <row r="61" spans="1:8" x14ac:dyDescent="0.25">
      <c r="A61" s="6" t="s">
        <v>173</v>
      </c>
      <c r="B61" s="6" t="s">
        <v>194</v>
      </c>
      <c r="C61" s="7">
        <v>60</v>
      </c>
      <c r="D61" s="93" t="s">
        <v>4</v>
      </c>
      <c r="E61" s="6">
        <v>0</v>
      </c>
      <c r="F61" s="6">
        <v>0</v>
      </c>
      <c r="G61" s="6">
        <v>0</v>
      </c>
      <c r="H61" s="6">
        <v>0</v>
      </c>
    </row>
    <row r="62" spans="1:8" x14ac:dyDescent="0.25">
      <c r="A62" s="6" t="s">
        <v>173</v>
      </c>
      <c r="B62" s="6" t="s">
        <v>195</v>
      </c>
      <c r="C62" s="7">
        <v>61</v>
      </c>
      <c r="D62" s="93" t="s">
        <v>4</v>
      </c>
      <c r="E62" s="6">
        <v>0</v>
      </c>
      <c r="F62" s="6">
        <v>0</v>
      </c>
      <c r="G62" s="6">
        <v>0</v>
      </c>
      <c r="H62" s="6">
        <v>0</v>
      </c>
    </row>
    <row r="63" spans="1:8" x14ac:dyDescent="0.25">
      <c r="A63" s="6" t="s">
        <v>196</v>
      </c>
      <c r="B63" s="6" t="s">
        <v>197</v>
      </c>
      <c r="C63" s="7">
        <v>62</v>
      </c>
      <c r="D63" s="93" t="s">
        <v>4</v>
      </c>
      <c r="E63" s="6">
        <v>0</v>
      </c>
      <c r="F63" s="6">
        <v>0</v>
      </c>
      <c r="G63" s="6">
        <v>0</v>
      </c>
      <c r="H63" s="6">
        <v>0</v>
      </c>
    </row>
    <row r="64" spans="1:8" x14ac:dyDescent="0.25">
      <c r="A64" s="6" t="s">
        <v>196</v>
      </c>
      <c r="B64" s="6" t="s">
        <v>198</v>
      </c>
      <c r="C64" s="7">
        <v>63</v>
      </c>
      <c r="D64" s="93" t="s">
        <v>4</v>
      </c>
      <c r="E64" s="6">
        <v>0</v>
      </c>
      <c r="F64" s="6">
        <v>0</v>
      </c>
      <c r="G64" s="6">
        <v>0</v>
      </c>
      <c r="H64" s="6">
        <v>0</v>
      </c>
    </row>
    <row r="65" spans="1:8" x14ac:dyDescent="0.25">
      <c r="A65" s="6" t="s">
        <v>196</v>
      </c>
      <c r="B65" s="6" t="s">
        <v>199</v>
      </c>
      <c r="C65" s="7">
        <v>64</v>
      </c>
      <c r="D65" s="93" t="s">
        <v>4</v>
      </c>
      <c r="E65" s="6">
        <v>0</v>
      </c>
      <c r="F65" s="6">
        <v>0</v>
      </c>
      <c r="G65" s="6">
        <v>0</v>
      </c>
      <c r="H65" s="6">
        <v>0</v>
      </c>
    </row>
    <row r="66" spans="1:8" x14ac:dyDescent="0.25">
      <c r="A66" s="6" t="s">
        <v>196</v>
      </c>
      <c r="B66" s="6" t="s">
        <v>200</v>
      </c>
      <c r="C66" s="7">
        <v>65</v>
      </c>
      <c r="D66" s="93" t="s">
        <v>4</v>
      </c>
      <c r="E66" s="6">
        <v>0</v>
      </c>
      <c r="F66" s="6">
        <v>0</v>
      </c>
      <c r="G66" s="6">
        <v>0</v>
      </c>
      <c r="H66" s="6">
        <v>0</v>
      </c>
    </row>
    <row r="67" spans="1:8" x14ac:dyDescent="0.25">
      <c r="A67" s="6" t="s">
        <v>196</v>
      </c>
      <c r="B67" s="6" t="s">
        <v>201</v>
      </c>
      <c r="C67" s="7">
        <v>66</v>
      </c>
      <c r="D67" s="93" t="s">
        <v>4</v>
      </c>
      <c r="E67" s="6">
        <v>0</v>
      </c>
      <c r="F67" s="6">
        <v>0</v>
      </c>
      <c r="G67" s="6">
        <v>0</v>
      </c>
      <c r="H67" s="6">
        <v>0</v>
      </c>
    </row>
    <row r="68" spans="1:8" x14ac:dyDescent="0.25">
      <c r="A68" s="6" t="s">
        <v>196</v>
      </c>
      <c r="B68" s="6" t="s">
        <v>202</v>
      </c>
      <c r="C68" s="7">
        <v>67</v>
      </c>
      <c r="D68" s="93" t="s">
        <v>4</v>
      </c>
      <c r="E68" s="6">
        <v>0</v>
      </c>
      <c r="F68" s="6">
        <v>0</v>
      </c>
      <c r="G68" s="6">
        <v>0</v>
      </c>
      <c r="H68" s="6">
        <v>0</v>
      </c>
    </row>
    <row r="69" spans="1:8" x14ac:dyDescent="0.25">
      <c r="A69" s="6" t="s">
        <v>196</v>
      </c>
      <c r="B69" s="6" t="s">
        <v>203</v>
      </c>
      <c r="C69" s="7">
        <v>68</v>
      </c>
      <c r="D69" s="93" t="s">
        <v>4</v>
      </c>
      <c r="E69" s="6">
        <v>0</v>
      </c>
      <c r="F69" s="6">
        <v>0</v>
      </c>
      <c r="G69" s="6">
        <v>0</v>
      </c>
      <c r="H69" s="6">
        <v>0</v>
      </c>
    </row>
    <row r="70" spans="1:8" x14ac:dyDescent="0.25">
      <c r="A70" s="6" t="s">
        <v>196</v>
      </c>
      <c r="B70" s="6" t="s">
        <v>204</v>
      </c>
      <c r="C70" s="7">
        <v>69</v>
      </c>
      <c r="D70" s="93" t="s">
        <v>4</v>
      </c>
      <c r="E70" s="6">
        <v>0</v>
      </c>
      <c r="F70" s="6">
        <v>0</v>
      </c>
      <c r="G70" s="6">
        <v>0</v>
      </c>
      <c r="H70" s="6">
        <v>0</v>
      </c>
    </row>
    <row r="71" spans="1:8" x14ac:dyDescent="0.25">
      <c r="A71" s="6" t="s">
        <v>196</v>
      </c>
      <c r="B71" s="6" t="s">
        <v>205</v>
      </c>
      <c r="C71" s="7">
        <v>70</v>
      </c>
      <c r="D71" s="93" t="s">
        <v>4</v>
      </c>
      <c r="E71" s="6">
        <v>0</v>
      </c>
      <c r="F71" s="6">
        <v>0</v>
      </c>
      <c r="G71" s="6">
        <v>0</v>
      </c>
      <c r="H71" s="6">
        <v>0</v>
      </c>
    </row>
    <row r="72" spans="1:8" x14ac:dyDescent="0.25">
      <c r="A72" s="6" t="s">
        <v>196</v>
      </c>
      <c r="B72" s="6" t="s">
        <v>206</v>
      </c>
      <c r="C72" s="7">
        <v>71</v>
      </c>
      <c r="D72" s="93" t="s">
        <v>4</v>
      </c>
      <c r="E72" s="6">
        <v>0</v>
      </c>
      <c r="F72" s="6">
        <v>0</v>
      </c>
      <c r="G72" s="6">
        <v>0</v>
      </c>
      <c r="H72" s="6">
        <v>0</v>
      </c>
    </row>
    <row r="73" spans="1:8" x14ac:dyDescent="0.25">
      <c r="A73" s="6" t="s">
        <v>196</v>
      </c>
      <c r="B73" s="6" t="s">
        <v>207</v>
      </c>
      <c r="C73" s="7">
        <v>72</v>
      </c>
      <c r="D73" s="93" t="s">
        <v>4</v>
      </c>
      <c r="E73" s="6">
        <v>0</v>
      </c>
      <c r="F73" s="6">
        <v>0</v>
      </c>
      <c r="G73" s="6">
        <v>0</v>
      </c>
      <c r="H73" s="6">
        <v>0</v>
      </c>
    </row>
    <row r="74" spans="1:8" x14ac:dyDescent="0.25">
      <c r="A74" s="6" t="s">
        <v>196</v>
      </c>
      <c r="B74" s="6" t="s">
        <v>208</v>
      </c>
      <c r="C74" s="7">
        <v>73</v>
      </c>
      <c r="D74" s="93" t="s">
        <v>4</v>
      </c>
      <c r="E74" s="6">
        <v>0</v>
      </c>
      <c r="F74" s="6">
        <v>0</v>
      </c>
      <c r="G74" s="6">
        <v>0</v>
      </c>
      <c r="H74" s="6">
        <v>0</v>
      </c>
    </row>
    <row r="75" spans="1:8" x14ac:dyDescent="0.25">
      <c r="A75" s="6" t="s">
        <v>196</v>
      </c>
      <c r="B75" s="6" t="s">
        <v>209</v>
      </c>
      <c r="C75" s="7">
        <v>74</v>
      </c>
      <c r="D75" s="93" t="s">
        <v>4</v>
      </c>
      <c r="E75" s="6">
        <v>0</v>
      </c>
      <c r="F75" s="6">
        <v>0</v>
      </c>
      <c r="G75" s="6">
        <v>0</v>
      </c>
      <c r="H75" s="6">
        <v>0</v>
      </c>
    </row>
    <row r="76" spans="1:8" x14ac:dyDescent="0.25">
      <c r="A76" s="6" t="s">
        <v>196</v>
      </c>
      <c r="B76" s="6" t="s">
        <v>210</v>
      </c>
      <c r="C76" s="7">
        <v>75</v>
      </c>
      <c r="D76" s="93" t="s">
        <v>4</v>
      </c>
      <c r="E76" s="6">
        <v>0</v>
      </c>
      <c r="F76" s="6">
        <v>0</v>
      </c>
      <c r="G76" s="6">
        <v>0</v>
      </c>
      <c r="H76" s="6">
        <v>0</v>
      </c>
    </row>
    <row r="77" spans="1:8" x14ac:dyDescent="0.25">
      <c r="A77" s="6" t="s">
        <v>211</v>
      </c>
      <c r="B77" s="6" t="s">
        <v>212</v>
      </c>
      <c r="C77" s="7">
        <v>76</v>
      </c>
      <c r="D77" s="93" t="s">
        <v>4</v>
      </c>
      <c r="E77" s="6">
        <v>0</v>
      </c>
      <c r="F77" s="6">
        <v>0</v>
      </c>
      <c r="G77" s="6">
        <v>0</v>
      </c>
      <c r="H77" s="6">
        <v>0</v>
      </c>
    </row>
    <row r="78" spans="1:8" x14ac:dyDescent="0.25">
      <c r="A78" s="6" t="s">
        <v>211</v>
      </c>
      <c r="B78" s="6" t="s">
        <v>212</v>
      </c>
      <c r="C78" s="7">
        <v>77</v>
      </c>
      <c r="D78" s="93" t="s">
        <v>318</v>
      </c>
      <c r="E78" s="6">
        <v>0</v>
      </c>
      <c r="F78" s="6">
        <v>0</v>
      </c>
      <c r="G78" s="6">
        <v>0</v>
      </c>
      <c r="H78" s="6">
        <v>0</v>
      </c>
    </row>
    <row r="79" spans="1:8" x14ac:dyDescent="0.25">
      <c r="A79" s="6" t="s">
        <v>211</v>
      </c>
      <c r="B79" s="6" t="s">
        <v>214</v>
      </c>
      <c r="C79" s="7">
        <v>78</v>
      </c>
      <c r="D79" s="93" t="s">
        <v>4</v>
      </c>
      <c r="E79" s="6">
        <v>0</v>
      </c>
      <c r="F79" s="6">
        <v>0</v>
      </c>
      <c r="G79" s="6">
        <v>0</v>
      </c>
      <c r="H79" s="6">
        <v>0</v>
      </c>
    </row>
    <row r="80" spans="1:8" x14ac:dyDescent="0.25">
      <c r="A80" s="6" t="s">
        <v>211</v>
      </c>
      <c r="B80" s="6" t="s">
        <v>214</v>
      </c>
      <c r="C80" s="7">
        <v>79</v>
      </c>
      <c r="D80" s="93" t="s">
        <v>318</v>
      </c>
      <c r="E80" s="6">
        <v>0</v>
      </c>
      <c r="F80" s="6">
        <v>0</v>
      </c>
      <c r="G80" s="6">
        <v>0</v>
      </c>
      <c r="H80" s="6">
        <v>0</v>
      </c>
    </row>
    <row r="81" spans="1:8" x14ac:dyDescent="0.25">
      <c r="A81" s="6" t="s">
        <v>211</v>
      </c>
      <c r="B81" s="6" t="s">
        <v>216</v>
      </c>
      <c r="C81" s="7">
        <v>80</v>
      </c>
      <c r="D81" s="93" t="s">
        <v>4</v>
      </c>
      <c r="E81" s="6">
        <v>0</v>
      </c>
      <c r="F81" s="6">
        <v>0</v>
      </c>
      <c r="G81" s="6">
        <v>0</v>
      </c>
      <c r="H81" s="6">
        <v>0</v>
      </c>
    </row>
    <row r="82" spans="1:8" x14ac:dyDescent="0.25">
      <c r="A82" s="6" t="s">
        <v>211</v>
      </c>
      <c r="B82" s="6" t="s">
        <v>216</v>
      </c>
      <c r="C82" s="7">
        <v>81</v>
      </c>
      <c r="D82" s="93" t="s">
        <v>318</v>
      </c>
      <c r="E82" s="6">
        <v>0</v>
      </c>
      <c r="F82" s="6">
        <v>0</v>
      </c>
      <c r="G82" s="6">
        <v>0</v>
      </c>
      <c r="H82" s="6">
        <v>0</v>
      </c>
    </row>
    <row r="83" spans="1:8" x14ac:dyDescent="0.25">
      <c r="A83" s="6" t="s">
        <v>218</v>
      </c>
      <c r="B83" s="6" t="s">
        <v>219</v>
      </c>
      <c r="C83" s="7">
        <v>82</v>
      </c>
      <c r="D83" s="93" t="s">
        <v>4</v>
      </c>
      <c r="E83" s="6">
        <v>0</v>
      </c>
      <c r="F83" s="6">
        <v>0</v>
      </c>
      <c r="G83" s="6">
        <v>0</v>
      </c>
      <c r="H83" s="6">
        <v>0</v>
      </c>
    </row>
    <row r="84" spans="1:8" x14ac:dyDescent="0.25">
      <c r="A84" s="6" t="s">
        <v>218</v>
      </c>
      <c r="B84" s="6" t="s">
        <v>220</v>
      </c>
      <c r="C84" s="7">
        <v>83</v>
      </c>
      <c r="D84" s="93" t="s">
        <v>4</v>
      </c>
      <c r="E84" s="6">
        <v>0</v>
      </c>
      <c r="F84" s="6">
        <v>0</v>
      </c>
      <c r="G84" s="6">
        <v>0</v>
      </c>
      <c r="H84" s="6">
        <v>0</v>
      </c>
    </row>
    <row r="85" spans="1:8" x14ac:dyDescent="0.25">
      <c r="A85" s="6" t="s">
        <v>221</v>
      </c>
      <c r="B85" s="6" t="s">
        <v>222</v>
      </c>
      <c r="C85" s="7">
        <v>84</v>
      </c>
      <c r="D85" s="93" t="s">
        <v>4</v>
      </c>
      <c r="E85" s="6">
        <v>0</v>
      </c>
      <c r="F85" s="6">
        <v>0</v>
      </c>
      <c r="G85" s="6">
        <v>0</v>
      </c>
      <c r="H85" s="6">
        <v>0</v>
      </c>
    </row>
    <row r="86" spans="1:8" x14ac:dyDescent="0.25">
      <c r="A86" s="6" t="s">
        <v>221</v>
      </c>
      <c r="B86" s="6" t="s">
        <v>223</v>
      </c>
      <c r="C86" s="7">
        <v>85</v>
      </c>
      <c r="D86" s="93" t="s">
        <v>4</v>
      </c>
      <c r="E86" s="6">
        <v>0</v>
      </c>
      <c r="F86" s="6">
        <v>0</v>
      </c>
      <c r="G86" s="6">
        <v>0</v>
      </c>
      <c r="H86" s="6">
        <v>0</v>
      </c>
    </row>
    <row r="87" spans="1:8" x14ac:dyDescent="0.25">
      <c r="A87" s="6" t="s">
        <v>221</v>
      </c>
      <c r="B87" s="6" t="s">
        <v>224</v>
      </c>
      <c r="C87" s="7">
        <v>86</v>
      </c>
      <c r="D87" s="93" t="s">
        <v>4</v>
      </c>
      <c r="E87" s="6">
        <v>0</v>
      </c>
      <c r="F87" s="6">
        <v>0</v>
      </c>
      <c r="G87" s="6">
        <v>0</v>
      </c>
      <c r="H87" s="6">
        <v>0</v>
      </c>
    </row>
    <row r="88" spans="1:8" x14ac:dyDescent="0.25">
      <c r="A88" s="6" t="s">
        <v>221</v>
      </c>
      <c r="B88" s="6" t="s">
        <v>225</v>
      </c>
      <c r="C88" s="7">
        <v>87</v>
      </c>
      <c r="D88" s="93" t="s">
        <v>4</v>
      </c>
      <c r="E88" s="6">
        <v>0</v>
      </c>
      <c r="F88" s="6">
        <v>0</v>
      </c>
      <c r="G88" s="6">
        <v>0</v>
      </c>
      <c r="H88" s="6">
        <v>0</v>
      </c>
    </row>
    <row r="89" spans="1:8" x14ac:dyDescent="0.25">
      <c r="A89" s="6" t="s">
        <v>226</v>
      </c>
      <c r="B89" s="6" t="s">
        <v>227</v>
      </c>
      <c r="C89" s="7">
        <v>88</v>
      </c>
      <c r="D89" s="93" t="s">
        <v>4</v>
      </c>
      <c r="E89" s="6">
        <v>0</v>
      </c>
      <c r="F89" s="6">
        <v>0</v>
      </c>
      <c r="G89" s="6">
        <v>0</v>
      </c>
      <c r="H89" s="6">
        <v>0</v>
      </c>
    </row>
    <row r="90" spans="1:8" x14ac:dyDescent="0.25">
      <c r="A90" s="6" t="s">
        <v>226</v>
      </c>
      <c r="B90" s="6" t="s">
        <v>228</v>
      </c>
      <c r="C90" s="7">
        <v>89</v>
      </c>
      <c r="D90" s="93" t="s">
        <v>4</v>
      </c>
      <c r="E90" s="6">
        <v>0</v>
      </c>
      <c r="F90" s="6">
        <v>0</v>
      </c>
      <c r="G90" s="6">
        <v>0</v>
      </c>
      <c r="H90" s="6">
        <v>0</v>
      </c>
    </row>
    <row r="91" spans="1:8" x14ac:dyDescent="0.25">
      <c r="A91" s="6" t="s">
        <v>226</v>
      </c>
      <c r="B91" s="6" t="s">
        <v>229</v>
      </c>
      <c r="C91" s="7">
        <v>90</v>
      </c>
      <c r="D91" s="93" t="s">
        <v>4</v>
      </c>
      <c r="E91" s="6">
        <v>0</v>
      </c>
      <c r="F91" s="6">
        <v>0</v>
      </c>
      <c r="G91" s="6">
        <v>0</v>
      </c>
      <c r="H91" s="6">
        <v>0</v>
      </c>
    </row>
    <row r="92" spans="1:8" x14ac:dyDescent="0.25">
      <c r="A92" s="6" t="s">
        <v>226</v>
      </c>
      <c r="B92" s="6" t="s">
        <v>230</v>
      </c>
      <c r="C92" s="7">
        <v>91</v>
      </c>
      <c r="D92" s="93" t="s">
        <v>4</v>
      </c>
      <c r="E92" s="6">
        <v>0</v>
      </c>
      <c r="F92" s="6">
        <v>0</v>
      </c>
      <c r="G92" s="6">
        <v>0</v>
      </c>
      <c r="H92" s="6">
        <v>0</v>
      </c>
    </row>
    <row r="93" spans="1:8" x14ac:dyDescent="0.25">
      <c r="A93" s="6" t="s">
        <v>226</v>
      </c>
      <c r="B93" s="6" t="s">
        <v>231</v>
      </c>
      <c r="C93" s="7">
        <v>92</v>
      </c>
      <c r="D93" s="93" t="s">
        <v>4</v>
      </c>
      <c r="E93" s="6">
        <v>0</v>
      </c>
      <c r="F93" s="6">
        <v>0</v>
      </c>
      <c r="G93" s="6">
        <v>0</v>
      </c>
      <c r="H93" s="6">
        <v>0</v>
      </c>
    </row>
    <row r="94" spans="1:8" x14ac:dyDescent="0.25">
      <c r="A94" s="6" t="s">
        <v>226</v>
      </c>
      <c r="B94" s="6" t="s">
        <v>232</v>
      </c>
      <c r="C94" s="7">
        <v>93</v>
      </c>
      <c r="D94" s="93" t="s">
        <v>4</v>
      </c>
      <c r="E94" s="6">
        <v>0</v>
      </c>
      <c r="F94" s="6">
        <v>0</v>
      </c>
      <c r="G94" s="6">
        <v>0</v>
      </c>
      <c r="H94" s="6">
        <v>0</v>
      </c>
    </row>
    <row r="95" spans="1:8" x14ac:dyDescent="0.25">
      <c r="A95" s="6" t="s">
        <v>226</v>
      </c>
      <c r="B95" s="6" t="s">
        <v>233</v>
      </c>
      <c r="C95" s="7">
        <v>94</v>
      </c>
      <c r="D95" s="93" t="s">
        <v>4</v>
      </c>
      <c r="E95" s="6">
        <v>0</v>
      </c>
      <c r="F95" s="6">
        <v>0</v>
      </c>
      <c r="G95" s="6">
        <v>0</v>
      </c>
      <c r="H95" s="6">
        <v>0</v>
      </c>
    </row>
    <row r="96" spans="1:8" x14ac:dyDescent="0.25">
      <c r="A96" s="6" t="s">
        <v>226</v>
      </c>
      <c r="B96" s="6" t="s">
        <v>234</v>
      </c>
      <c r="C96" s="7">
        <v>95</v>
      </c>
      <c r="D96" s="93" t="s">
        <v>4</v>
      </c>
      <c r="E96" s="6">
        <v>0</v>
      </c>
      <c r="F96" s="6">
        <v>0</v>
      </c>
      <c r="G96" s="6">
        <v>0</v>
      </c>
      <c r="H96" s="6">
        <v>0</v>
      </c>
    </row>
    <row r="97" spans="1:8" x14ac:dyDescent="0.25">
      <c r="A97" s="6" t="s">
        <v>226</v>
      </c>
      <c r="B97" s="6" t="s">
        <v>235</v>
      </c>
      <c r="C97" s="7">
        <v>96</v>
      </c>
      <c r="D97" s="93" t="s">
        <v>4</v>
      </c>
      <c r="E97" s="6">
        <v>0</v>
      </c>
      <c r="F97" s="6">
        <v>0</v>
      </c>
      <c r="G97" s="6">
        <v>0</v>
      </c>
      <c r="H97" s="6">
        <v>0</v>
      </c>
    </row>
    <row r="98" spans="1:8" x14ac:dyDescent="0.25">
      <c r="A98" s="6" t="s">
        <v>226</v>
      </c>
      <c r="B98" s="6" t="s">
        <v>236</v>
      </c>
      <c r="C98" s="7">
        <v>97</v>
      </c>
      <c r="D98" s="93" t="s">
        <v>4</v>
      </c>
      <c r="E98" s="6">
        <v>0</v>
      </c>
      <c r="F98" s="6">
        <v>0</v>
      </c>
      <c r="G98" s="6">
        <v>0</v>
      </c>
      <c r="H98" s="6">
        <v>0</v>
      </c>
    </row>
    <row r="99" spans="1:8" x14ac:dyDescent="0.25">
      <c r="A99" s="6" t="s">
        <v>237</v>
      </c>
      <c r="B99" s="6" t="s">
        <v>238</v>
      </c>
      <c r="C99" s="7">
        <v>98</v>
      </c>
      <c r="D99" s="93" t="s">
        <v>4</v>
      </c>
      <c r="E99" s="6">
        <v>0</v>
      </c>
      <c r="F99" s="6">
        <v>0</v>
      </c>
      <c r="G99" s="6">
        <v>0</v>
      </c>
      <c r="H99" s="6">
        <v>0</v>
      </c>
    </row>
    <row r="100" spans="1:8" x14ac:dyDescent="0.25">
      <c r="A100" s="6" t="s">
        <v>237</v>
      </c>
      <c r="B100" s="6" t="s">
        <v>239</v>
      </c>
      <c r="C100" s="7">
        <v>99</v>
      </c>
      <c r="D100" s="93" t="s">
        <v>4</v>
      </c>
      <c r="E100" s="6">
        <v>0</v>
      </c>
      <c r="F100" s="6">
        <v>0</v>
      </c>
      <c r="G100" s="6">
        <v>0</v>
      </c>
      <c r="H100" s="6">
        <v>0</v>
      </c>
    </row>
    <row r="101" spans="1:8" s="6" customFormat="1" x14ac:dyDescent="0.25">
      <c r="A101" s="6" t="s">
        <v>391</v>
      </c>
      <c r="B101" s="6" t="s">
        <v>340</v>
      </c>
      <c r="C101" s="7">
        <v>100</v>
      </c>
      <c r="D101" s="93" t="s">
        <v>4</v>
      </c>
      <c r="E101" s="6">
        <v>0</v>
      </c>
      <c r="F101" s="6">
        <v>0</v>
      </c>
      <c r="G101" s="6">
        <v>0</v>
      </c>
      <c r="H101" s="6">
        <v>0</v>
      </c>
    </row>
    <row r="102" spans="1:8" s="6" customFormat="1" x14ac:dyDescent="0.25">
      <c r="A102" s="6" t="s">
        <v>391</v>
      </c>
      <c r="B102" s="6" t="s">
        <v>342</v>
      </c>
      <c r="C102" s="7">
        <v>101</v>
      </c>
      <c r="D102" s="93" t="s">
        <v>4</v>
      </c>
      <c r="E102" s="6">
        <v>0</v>
      </c>
      <c r="F102" s="6">
        <v>0</v>
      </c>
      <c r="G102" s="6">
        <v>0</v>
      </c>
      <c r="H102" s="6">
        <v>0</v>
      </c>
    </row>
    <row r="103" spans="1:8" x14ac:dyDescent="0.25">
      <c r="A103" t="s">
        <v>154</v>
      </c>
      <c r="B103" t="s">
        <v>156</v>
      </c>
      <c r="C103">
        <v>23</v>
      </c>
      <c r="D103" t="s">
        <v>4</v>
      </c>
      <c r="E103">
        <v>-239.23349999999999</v>
      </c>
      <c r="F103">
        <v>-5841.0430999999999</v>
      </c>
      <c r="G103">
        <v>92.510199999999998</v>
      </c>
      <c r="H103">
        <v>1634.7339999999999</v>
      </c>
    </row>
    <row r="104" spans="1:8" x14ac:dyDescent="0.25">
      <c r="A104" t="s">
        <v>132</v>
      </c>
      <c r="B104" t="s">
        <v>149</v>
      </c>
      <c r="C104">
        <v>17</v>
      </c>
      <c r="D104" t="s">
        <v>4</v>
      </c>
      <c r="E104">
        <v>-7.6499999999999999E-2</v>
      </c>
      <c r="F104">
        <v>-1.556</v>
      </c>
      <c r="G104">
        <v>4.8800000000000003E-2</v>
      </c>
      <c r="H104">
        <v>3.0945999999999998</v>
      </c>
    </row>
    <row r="105" spans="1:8" x14ac:dyDescent="0.25">
      <c r="A105" t="s">
        <v>132</v>
      </c>
      <c r="B105" t="s">
        <v>134</v>
      </c>
      <c r="C105">
        <v>2</v>
      </c>
      <c r="D105" t="s">
        <v>4</v>
      </c>
      <c r="E105">
        <v>0</v>
      </c>
      <c r="F105">
        <v>0</v>
      </c>
      <c r="G105">
        <v>18.046299999999999</v>
      </c>
      <c r="H105">
        <v>1618.0279</v>
      </c>
    </row>
    <row r="106" spans="1:8" x14ac:dyDescent="0.25">
      <c r="A106" t="s">
        <v>154</v>
      </c>
      <c r="B106" t="s">
        <v>168</v>
      </c>
      <c r="C106">
        <v>35</v>
      </c>
      <c r="D106" t="s">
        <v>4</v>
      </c>
      <c r="E106">
        <v>-2.6141999999999999</v>
      </c>
      <c r="F106">
        <v>-190.76480000000001</v>
      </c>
      <c r="G106">
        <v>6.2138999999999998</v>
      </c>
      <c r="H106">
        <v>408.62099999999998</v>
      </c>
    </row>
    <row r="107" spans="1:8" x14ac:dyDescent="0.25">
      <c r="A107" t="s">
        <v>173</v>
      </c>
      <c r="B107" t="s">
        <v>194</v>
      </c>
      <c r="C107">
        <v>60</v>
      </c>
      <c r="D107" t="s">
        <v>4</v>
      </c>
      <c r="E107">
        <v>-1.6157999999999999</v>
      </c>
      <c r="F107">
        <v>-60.822699999999998</v>
      </c>
      <c r="G107">
        <v>18.8066</v>
      </c>
      <c r="H107">
        <v>1000.6218</v>
      </c>
    </row>
    <row r="108" spans="1:8" x14ac:dyDescent="0.25">
      <c r="A108" t="s">
        <v>173</v>
      </c>
      <c r="B108" t="s">
        <v>188</v>
      </c>
      <c r="C108">
        <v>54</v>
      </c>
      <c r="D108" t="s">
        <v>4</v>
      </c>
      <c r="E108">
        <v>0</v>
      </c>
      <c r="F108">
        <v>0</v>
      </c>
      <c r="G108">
        <v>-5.8500000000000003E-2</v>
      </c>
      <c r="H108">
        <v>-1.7424999999999999</v>
      </c>
    </row>
    <row r="109" spans="1:8" x14ac:dyDescent="0.25">
      <c r="A109" t="s">
        <v>132</v>
      </c>
      <c r="B109" t="s">
        <v>136</v>
      </c>
      <c r="C109">
        <v>4</v>
      </c>
      <c r="D109" t="s">
        <v>4</v>
      </c>
      <c r="E109">
        <v>0</v>
      </c>
      <c r="F109">
        <v>0</v>
      </c>
      <c r="G109">
        <v>-1.29E-2</v>
      </c>
      <c r="H109">
        <v>-0.43269999999999997</v>
      </c>
    </row>
    <row r="110" spans="1:8" x14ac:dyDescent="0.25">
      <c r="A110" t="s">
        <v>196</v>
      </c>
      <c r="B110" t="s">
        <v>209</v>
      </c>
      <c r="C110">
        <v>74</v>
      </c>
      <c r="D110" t="s">
        <v>4</v>
      </c>
      <c r="E110">
        <v>0</v>
      </c>
      <c r="F110">
        <v>0</v>
      </c>
      <c r="G110">
        <v>0</v>
      </c>
      <c r="H110">
        <v>0</v>
      </c>
    </row>
    <row r="111" spans="1:8" x14ac:dyDescent="0.25">
      <c r="A111" t="s">
        <v>154</v>
      </c>
      <c r="B111" t="s">
        <v>160</v>
      </c>
      <c r="C111">
        <v>27</v>
      </c>
      <c r="D111" t="s">
        <v>4</v>
      </c>
      <c r="E111">
        <v>-3.8982000000000001</v>
      </c>
      <c r="F111">
        <v>-144.6045</v>
      </c>
      <c r="G111">
        <v>0</v>
      </c>
      <c r="H111">
        <v>0</v>
      </c>
    </row>
    <row r="112" spans="1:8" x14ac:dyDescent="0.25">
      <c r="A112" t="s">
        <v>132</v>
      </c>
      <c r="B112" t="s">
        <v>135</v>
      </c>
      <c r="C112">
        <v>3</v>
      </c>
      <c r="D112" t="s">
        <v>4</v>
      </c>
      <c r="E112">
        <v>-2.6854</v>
      </c>
      <c r="F112">
        <v>-72.975300000000004</v>
      </c>
      <c r="G112">
        <v>-0.97829999999999995</v>
      </c>
      <c r="H112">
        <v>-361.56209999999999</v>
      </c>
    </row>
    <row r="113" spans="1:8" x14ac:dyDescent="0.25">
      <c r="A113" t="s">
        <v>132</v>
      </c>
      <c r="B113" t="s">
        <v>138</v>
      </c>
      <c r="C113">
        <v>6</v>
      </c>
      <c r="D113" t="s">
        <v>4</v>
      </c>
      <c r="E113">
        <v>0</v>
      </c>
      <c r="F113">
        <v>0</v>
      </c>
      <c r="G113">
        <v>0</v>
      </c>
      <c r="H113">
        <v>0</v>
      </c>
    </row>
    <row r="114" spans="1:8" x14ac:dyDescent="0.25">
      <c r="A114" t="s">
        <v>132</v>
      </c>
      <c r="B114" t="s">
        <v>133</v>
      </c>
      <c r="C114">
        <v>1</v>
      </c>
      <c r="D114" t="s">
        <v>4</v>
      </c>
      <c r="E114">
        <v>0</v>
      </c>
      <c r="F114">
        <v>0</v>
      </c>
      <c r="G114">
        <v>4.87E-2</v>
      </c>
      <c r="H114">
        <v>-0.59660000000000002</v>
      </c>
    </row>
    <row r="115" spans="1:8" x14ac:dyDescent="0.25">
      <c r="A115" t="s">
        <v>173</v>
      </c>
      <c r="B115" t="s">
        <v>192</v>
      </c>
      <c r="C115">
        <v>58</v>
      </c>
      <c r="D115" t="s">
        <v>4</v>
      </c>
      <c r="E115">
        <v>-3.9E-2</v>
      </c>
      <c r="F115">
        <v>-3.5381999999999998</v>
      </c>
      <c r="G115">
        <v>4.58E-2</v>
      </c>
      <c r="H115">
        <v>1.7357</v>
      </c>
    </row>
    <row r="116" spans="1:8" x14ac:dyDescent="0.25">
      <c r="A116" t="s">
        <v>132</v>
      </c>
      <c r="B116" t="s">
        <v>144</v>
      </c>
      <c r="C116">
        <v>12</v>
      </c>
      <c r="D116" t="s">
        <v>4</v>
      </c>
      <c r="E116">
        <v>0</v>
      </c>
      <c r="F116">
        <v>0</v>
      </c>
      <c r="G116">
        <v>0</v>
      </c>
      <c r="H116">
        <v>0</v>
      </c>
    </row>
    <row r="117" spans="1:8" x14ac:dyDescent="0.25">
      <c r="A117" t="s">
        <v>173</v>
      </c>
      <c r="B117" t="s">
        <v>189</v>
      </c>
      <c r="C117">
        <v>55</v>
      </c>
      <c r="D117" t="s">
        <v>4</v>
      </c>
      <c r="E117">
        <v>0</v>
      </c>
      <c r="F117">
        <v>0</v>
      </c>
      <c r="G117">
        <v>972.9701</v>
      </c>
      <c r="H117">
        <v>34632.321600000003</v>
      </c>
    </row>
    <row r="118" spans="1:8" x14ac:dyDescent="0.25">
      <c r="A118" t="s">
        <v>196</v>
      </c>
      <c r="B118" t="s">
        <v>206</v>
      </c>
      <c r="C118">
        <v>71</v>
      </c>
      <c r="D118" t="s">
        <v>4</v>
      </c>
      <c r="E118">
        <v>0</v>
      </c>
      <c r="F118">
        <v>0</v>
      </c>
      <c r="G118">
        <v>0</v>
      </c>
      <c r="H118">
        <v>0</v>
      </c>
    </row>
    <row r="119" spans="1:8" x14ac:dyDescent="0.25">
      <c r="A119" t="s">
        <v>154</v>
      </c>
      <c r="B119" t="s">
        <v>167</v>
      </c>
      <c r="C119">
        <v>34</v>
      </c>
      <c r="D119" t="s">
        <v>4</v>
      </c>
      <c r="E119">
        <v>-0.57920000000000005</v>
      </c>
      <c r="F119">
        <v>-15.5814</v>
      </c>
      <c r="G119">
        <v>-1.145</v>
      </c>
      <c r="H119">
        <v>-41.314100000000003</v>
      </c>
    </row>
    <row r="120" spans="1:8" x14ac:dyDescent="0.25">
      <c r="A120" t="s">
        <v>173</v>
      </c>
      <c r="B120" t="s">
        <v>187</v>
      </c>
      <c r="C120">
        <v>53</v>
      </c>
      <c r="D120" t="s">
        <v>4</v>
      </c>
      <c r="E120">
        <v>-7.8700000000000006E-2</v>
      </c>
      <c r="F120">
        <v>-2.052</v>
      </c>
      <c r="G120">
        <v>27.791899999999998</v>
      </c>
      <c r="H120">
        <v>523.26179999999999</v>
      </c>
    </row>
    <row r="121" spans="1:8" x14ac:dyDescent="0.25">
      <c r="A121" t="s">
        <v>173</v>
      </c>
      <c r="B121" t="s">
        <v>191</v>
      </c>
      <c r="C121">
        <v>57</v>
      </c>
      <c r="D121" t="s">
        <v>4</v>
      </c>
      <c r="E121">
        <v>0</v>
      </c>
      <c r="F121">
        <v>0</v>
      </c>
      <c r="G121">
        <v>0</v>
      </c>
      <c r="H121">
        <v>0</v>
      </c>
    </row>
    <row r="122" spans="1:8" x14ac:dyDescent="0.25">
      <c r="A122" t="s">
        <v>154</v>
      </c>
      <c r="B122" t="s">
        <v>166</v>
      </c>
      <c r="C122">
        <v>33</v>
      </c>
      <c r="D122" t="s">
        <v>4</v>
      </c>
      <c r="E122">
        <v>-0.91869999999999996</v>
      </c>
      <c r="F122">
        <v>-23.606300000000001</v>
      </c>
      <c r="G122">
        <v>1.0864</v>
      </c>
      <c r="H122">
        <v>29.938700000000001</v>
      </c>
    </row>
    <row r="123" spans="1:8" x14ac:dyDescent="0.25">
      <c r="A123" t="s">
        <v>173</v>
      </c>
      <c r="B123" t="s">
        <v>190</v>
      </c>
      <c r="C123">
        <v>56</v>
      </c>
      <c r="D123" t="s">
        <v>4</v>
      </c>
      <c r="E123">
        <v>0</v>
      </c>
      <c r="F123">
        <v>0</v>
      </c>
      <c r="G123">
        <v>0</v>
      </c>
      <c r="H123">
        <v>0</v>
      </c>
    </row>
    <row r="124" spans="1:8" x14ac:dyDescent="0.25">
      <c r="A124" t="s">
        <v>154</v>
      </c>
      <c r="B124" t="s">
        <v>172</v>
      </c>
      <c r="C124">
        <v>39</v>
      </c>
      <c r="D124" t="s">
        <v>4</v>
      </c>
      <c r="E124">
        <v>0</v>
      </c>
      <c r="F124">
        <v>0</v>
      </c>
      <c r="G124">
        <v>4.7392000000000003</v>
      </c>
      <c r="H124">
        <v>222.46770000000001</v>
      </c>
    </row>
    <row r="125" spans="1:8" x14ac:dyDescent="0.25">
      <c r="A125" t="s">
        <v>132</v>
      </c>
      <c r="B125" t="s">
        <v>150</v>
      </c>
      <c r="C125">
        <v>18</v>
      </c>
      <c r="D125" t="s">
        <v>4</v>
      </c>
      <c r="E125">
        <v>-0.1077</v>
      </c>
      <c r="F125">
        <v>-3.9592999999999998</v>
      </c>
      <c r="G125">
        <v>0.12379999999999999</v>
      </c>
      <c r="H125">
        <v>72.386300000000006</v>
      </c>
    </row>
    <row r="126" spans="1:8" x14ac:dyDescent="0.25">
      <c r="A126" t="s">
        <v>132</v>
      </c>
      <c r="B126" t="s">
        <v>147</v>
      </c>
      <c r="C126">
        <v>15</v>
      </c>
      <c r="D126" t="s">
        <v>4</v>
      </c>
      <c r="E126">
        <v>0</v>
      </c>
      <c r="F126">
        <v>0</v>
      </c>
      <c r="G126">
        <v>0</v>
      </c>
      <c r="H126">
        <v>0</v>
      </c>
    </row>
    <row r="127" spans="1:8" x14ac:dyDescent="0.25">
      <c r="A127" t="s">
        <v>154</v>
      </c>
      <c r="B127" t="s">
        <v>161</v>
      </c>
      <c r="C127">
        <v>28</v>
      </c>
      <c r="D127" t="s">
        <v>4</v>
      </c>
      <c r="E127">
        <v>-0.37519999999999998</v>
      </c>
      <c r="F127">
        <v>-12.441800000000001</v>
      </c>
      <c r="G127">
        <v>382.49889999999999</v>
      </c>
      <c r="H127">
        <v>10255.1536</v>
      </c>
    </row>
    <row r="128" spans="1:8" x14ac:dyDescent="0.25">
      <c r="A128" t="s">
        <v>132</v>
      </c>
      <c r="B128" t="s">
        <v>148</v>
      </c>
      <c r="C128">
        <v>16</v>
      </c>
      <c r="D128" t="s">
        <v>4</v>
      </c>
      <c r="E128">
        <v>0</v>
      </c>
      <c r="F128">
        <v>0</v>
      </c>
      <c r="G128">
        <v>0</v>
      </c>
      <c r="H128">
        <v>0</v>
      </c>
    </row>
    <row r="129" spans="1:8" x14ac:dyDescent="0.25">
      <c r="A129" t="s">
        <v>173</v>
      </c>
      <c r="B129" t="s">
        <v>177</v>
      </c>
      <c r="C129">
        <v>43</v>
      </c>
      <c r="D129" t="s">
        <v>4</v>
      </c>
      <c r="E129">
        <v>0</v>
      </c>
      <c r="F129">
        <v>0</v>
      </c>
      <c r="G129">
        <v>0</v>
      </c>
      <c r="H129">
        <v>0</v>
      </c>
    </row>
    <row r="130" spans="1:8" x14ac:dyDescent="0.25">
      <c r="A130" t="s">
        <v>173</v>
      </c>
      <c r="B130" t="s">
        <v>180</v>
      </c>
      <c r="C130">
        <v>46</v>
      </c>
      <c r="D130" t="s">
        <v>4</v>
      </c>
      <c r="E130">
        <v>-12.050700000000001</v>
      </c>
      <c r="F130">
        <v>-321.21109999999999</v>
      </c>
      <c r="G130">
        <v>54.7684</v>
      </c>
      <c r="H130">
        <v>1694.1577</v>
      </c>
    </row>
    <row r="131" spans="1:8" x14ac:dyDescent="0.25">
      <c r="A131" t="s">
        <v>154</v>
      </c>
      <c r="B131" t="s">
        <v>169</v>
      </c>
      <c r="C131">
        <v>36</v>
      </c>
      <c r="D131" t="s">
        <v>4</v>
      </c>
      <c r="E131">
        <v>-3.6272000000000002</v>
      </c>
      <c r="F131">
        <v>-132.667</v>
      </c>
      <c r="G131">
        <v>0</v>
      </c>
      <c r="H131">
        <v>0</v>
      </c>
    </row>
    <row r="132" spans="1:8" x14ac:dyDescent="0.25">
      <c r="A132" t="s">
        <v>196</v>
      </c>
      <c r="B132" t="s">
        <v>207</v>
      </c>
      <c r="C132">
        <v>72</v>
      </c>
      <c r="D132" t="s">
        <v>4</v>
      </c>
      <c r="E132">
        <v>0</v>
      </c>
      <c r="F132">
        <v>0</v>
      </c>
      <c r="G132">
        <v>0</v>
      </c>
      <c r="H132">
        <v>0</v>
      </c>
    </row>
    <row r="133" spans="1:8" x14ac:dyDescent="0.25">
      <c r="A133" t="s">
        <v>196</v>
      </c>
      <c r="B133" t="s">
        <v>210</v>
      </c>
      <c r="C133">
        <v>75</v>
      </c>
      <c r="D133" t="s">
        <v>4</v>
      </c>
      <c r="E133">
        <v>0</v>
      </c>
      <c r="F133">
        <v>0</v>
      </c>
      <c r="G133">
        <v>0</v>
      </c>
      <c r="H133">
        <v>0</v>
      </c>
    </row>
    <row r="134" spans="1:8" x14ac:dyDescent="0.25">
      <c r="A134" t="s">
        <v>154</v>
      </c>
      <c r="B134" t="s">
        <v>163</v>
      </c>
      <c r="C134">
        <v>30</v>
      </c>
      <c r="D134" t="s">
        <v>4</v>
      </c>
      <c r="E134">
        <v>0</v>
      </c>
      <c r="F134">
        <v>0</v>
      </c>
      <c r="G134">
        <v>0</v>
      </c>
      <c r="H134">
        <v>0</v>
      </c>
    </row>
    <row r="135" spans="1:8" x14ac:dyDescent="0.25">
      <c r="A135" t="s">
        <v>173</v>
      </c>
      <c r="B135" t="s">
        <v>176</v>
      </c>
      <c r="C135">
        <v>42</v>
      </c>
      <c r="D135" t="s">
        <v>4</v>
      </c>
      <c r="E135">
        <v>-4.4000000000000003E-3</v>
      </c>
      <c r="F135">
        <v>-0.12130000000000001</v>
      </c>
      <c r="G135">
        <v>87.550799999999995</v>
      </c>
      <c r="H135">
        <v>3151.6655000000001</v>
      </c>
    </row>
    <row r="136" spans="1:8" x14ac:dyDescent="0.25">
      <c r="A136" t="s">
        <v>196</v>
      </c>
      <c r="B136" t="s">
        <v>200</v>
      </c>
      <c r="C136">
        <v>65</v>
      </c>
      <c r="D136" t="s">
        <v>4</v>
      </c>
      <c r="E136">
        <v>-0.1101</v>
      </c>
      <c r="F136">
        <v>-9.9039999999999999</v>
      </c>
      <c r="G136">
        <v>9.6509</v>
      </c>
      <c r="H136">
        <v>806.7115</v>
      </c>
    </row>
    <row r="137" spans="1:8" x14ac:dyDescent="0.25">
      <c r="A137" t="s">
        <v>196</v>
      </c>
      <c r="B137" t="s">
        <v>203</v>
      </c>
      <c r="C137">
        <v>68</v>
      </c>
      <c r="D137" t="s">
        <v>4</v>
      </c>
      <c r="E137">
        <v>0</v>
      </c>
      <c r="F137">
        <v>0</v>
      </c>
      <c r="G137">
        <v>20.462599999999998</v>
      </c>
      <c r="H137">
        <v>1925.7348</v>
      </c>
    </row>
    <row r="138" spans="1:8" x14ac:dyDescent="0.25">
      <c r="A138" t="s">
        <v>173</v>
      </c>
      <c r="B138" t="s">
        <v>193</v>
      </c>
      <c r="C138">
        <v>59</v>
      </c>
      <c r="D138" t="s">
        <v>4</v>
      </c>
      <c r="E138">
        <v>0</v>
      </c>
      <c r="F138">
        <v>0</v>
      </c>
      <c r="G138">
        <v>6.2945000000000002</v>
      </c>
      <c r="H138">
        <v>168.5318</v>
      </c>
    </row>
    <row r="139" spans="1:8" x14ac:dyDescent="0.25">
      <c r="A139" t="s">
        <v>132</v>
      </c>
      <c r="B139" t="s">
        <v>137</v>
      </c>
      <c r="C139">
        <v>5</v>
      </c>
      <c r="D139" t="s">
        <v>4</v>
      </c>
      <c r="E139">
        <v>0</v>
      </c>
      <c r="F139">
        <v>0</v>
      </c>
      <c r="G139">
        <v>156.91079999999999</v>
      </c>
      <c r="H139">
        <v>4748.9373999999998</v>
      </c>
    </row>
    <row r="140" spans="1:8" x14ac:dyDescent="0.25">
      <c r="A140" t="s">
        <v>173</v>
      </c>
      <c r="B140" t="s">
        <v>179</v>
      </c>
      <c r="C140">
        <v>45</v>
      </c>
      <c r="D140" t="s">
        <v>4</v>
      </c>
      <c r="E140">
        <v>-154.715</v>
      </c>
      <c r="F140">
        <v>-4598.1352999999999</v>
      </c>
      <c r="G140">
        <v>339.25400000000002</v>
      </c>
      <c r="H140">
        <v>16013.263499999999</v>
      </c>
    </row>
    <row r="141" spans="1:8" x14ac:dyDescent="0.25">
      <c r="A141" t="s">
        <v>132</v>
      </c>
      <c r="B141" t="s">
        <v>151</v>
      </c>
      <c r="C141">
        <v>19</v>
      </c>
      <c r="D141" t="s">
        <v>4</v>
      </c>
      <c r="E141">
        <v>-1.0699999999999999E-2</v>
      </c>
      <c r="F141">
        <v>-0.1978</v>
      </c>
      <c r="G141">
        <v>58.155200000000001</v>
      </c>
      <c r="H141">
        <v>2120.7817</v>
      </c>
    </row>
    <row r="142" spans="1:8" x14ac:dyDescent="0.25">
      <c r="A142" t="s">
        <v>154</v>
      </c>
      <c r="B142" t="s">
        <v>164</v>
      </c>
      <c r="C142">
        <v>31</v>
      </c>
      <c r="D142" t="s">
        <v>4</v>
      </c>
      <c r="E142">
        <v>-153.48849999999999</v>
      </c>
      <c r="F142">
        <v>-4263.1545999999998</v>
      </c>
      <c r="G142">
        <v>190.1962</v>
      </c>
      <c r="H142">
        <v>20380.875199999999</v>
      </c>
    </row>
    <row r="143" spans="1:8" x14ac:dyDescent="0.25">
      <c r="A143" t="s">
        <v>173</v>
      </c>
      <c r="B143" t="s">
        <v>186</v>
      </c>
      <c r="C143">
        <v>52</v>
      </c>
      <c r="D143" t="s">
        <v>4</v>
      </c>
      <c r="E143">
        <v>-28.8278</v>
      </c>
      <c r="F143">
        <v>-1107.3931</v>
      </c>
      <c r="G143">
        <v>0</v>
      </c>
      <c r="H143">
        <v>0</v>
      </c>
    </row>
    <row r="144" spans="1:8" x14ac:dyDescent="0.25">
      <c r="A144" t="s">
        <v>173</v>
      </c>
      <c r="B144" t="s">
        <v>174</v>
      </c>
      <c r="C144">
        <v>40</v>
      </c>
      <c r="D144" t="s">
        <v>4</v>
      </c>
      <c r="E144">
        <v>-14.7288</v>
      </c>
      <c r="F144">
        <v>-544.49090000000001</v>
      </c>
      <c r="G144">
        <v>0</v>
      </c>
      <c r="H144">
        <v>0</v>
      </c>
    </row>
    <row r="145" spans="1:8" x14ac:dyDescent="0.25">
      <c r="A145" t="s">
        <v>154</v>
      </c>
      <c r="B145" t="s">
        <v>170</v>
      </c>
      <c r="C145">
        <v>37</v>
      </c>
      <c r="D145" t="s">
        <v>4</v>
      </c>
      <c r="E145">
        <v>0</v>
      </c>
      <c r="F145">
        <v>0</v>
      </c>
      <c r="G145">
        <v>0</v>
      </c>
      <c r="H145">
        <v>0</v>
      </c>
    </row>
    <row r="146" spans="1:8" x14ac:dyDescent="0.25">
      <c r="A146" t="s">
        <v>173</v>
      </c>
      <c r="B146" t="s">
        <v>185</v>
      </c>
      <c r="C146">
        <v>51</v>
      </c>
      <c r="D146" t="s">
        <v>4</v>
      </c>
      <c r="E146">
        <v>-3.1067999999999998</v>
      </c>
      <c r="F146">
        <v>-118.54770000000001</v>
      </c>
      <c r="G146">
        <v>0</v>
      </c>
      <c r="H146">
        <v>0</v>
      </c>
    </row>
    <row r="147" spans="1:8" x14ac:dyDescent="0.25">
      <c r="A147" t="s">
        <v>132</v>
      </c>
      <c r="B147" t="s">
        <v>146</v>
      </c>
      <c r="C147">
        <v>14</v>
      </c>
      <c r="D147" t="s">
        <v>4</v>
      </c>
      <c r="E147">
        <v>-182.76650000000001</v>
      </c>
      <c r="F147">
        <v>-4254.6274999999996</v>
      </c>
      <c r="G147">
        <v>193.28489999999999</v>
      </c>
      <c r="H147">
        <v>2504.8449000000001</v>
      </c>
    </row>
    <row r="148" spans="1:8" x14ac:dyDescent="0.25">
      <c r="A148" t="s">
        <v>196</v>
      </c>
      <c r="B148" t="s">
        <v>202</v>
      </c>
      <c r="C148">
        <v>67</v>
      </c>
      <c r="D148" t="s">
        <v>4</v>
      </c>
      <c r="E148">
        <v>-0.67610000000000003</v>
      </c>
      <c r="F148">
        <v>-27.4605</v>
      </c>
      <c r="G148">
        <v>6.3500000000000001E-2</v>
      </c>
      <c r="H148">
        <v>1.9765999999999999</v>
      </c>
    </row>
    <row r="149" spans="1:8" x14ac:dyDescent="0.25">
      <c r="A149" t="s">
        <v>173</v>
      </c>
      <c r="B149" t="s">
        <v>184</v>
      </c>
      <c r="C149">
        <v>50</v>
      </c>
      <c r="D149" t="s">
        <v>4</v>
      </c>
      <c r="E149">
        <v>-8.4175000000000004</v>
      </c>
      <c r="F149">
        <v>-382.82760000000002</v>
      </c>
      <c r="G149">
        <v>2.9693999999999998</v>
      </c>
      <c r="H149">
        <v>115.17</v>
      </c>
    </row>
    <row r="150" spans="1:8" x14ac:dyDescent="0.25">
      <c r="A150" t="s">
        <v>132</v>
      </c>
      <c r="B150" t="s">
        <v>141</v>
      </c>
      <c r="C150">
        <v>9</v>
      </c>
      <c r="D150" t="s">
        <v>4</v>
      </c>
      <c r="E150">
        <v>-18.773599999999998</v>
      </c>
      <c r="F150">
        <v>-471.75310000000002</v>
      </c>
      <c r="G150">
        <v>118.96380000000001</v>
      </c>
      <c r="H150">
        <v>8946.7489000000005</v>
      </c>
    </row>
    <row r="151" spans="1:8" x14ac:dyDescent="0.25">
      <c r="A151" t="s">
        <v>196</v>
      </c>
      <c r="B151" t="s">
        <v>205</v>
      </c>
      <c r="C151">
        <v>70</v>
      </c>
      <c r="D151" t="s">
        <v>4</v>
      </c>
      <c r="E151">
        <v>0</v>
      </c>
      <c r="F151">
        <v>0</v>
      </c>
      <c r="G151">
        <v>0</v>
      </c>
      <c r="H151">
        <v>0</v>
      </c>
    </row>
    <row r="152" spans="1:8" x14ac:dyDescent="0.25">
      <c r="A152" t="s">
        <v>154</v>
      </c>
      <c r="B152" t="s">
        <v>162</v>
      </c>
      <c r="C152">
        <v>29</v>
      </c>
      <c r="D152" t="s">
        <v>4</v>
      </c>
      <c r="E152">
        <v>0</v>
      </c>
      <c r="F152">
        <v>0</v>
      </c>
      <c r="G152">
        <v>0</v>
      </c>
      <c r="H152">
        <v>0</v>
      </c>
    </row>
    <row r="153" spans="1:8" x14ac:dyDescent="0.25">
      <c r="A153" t="s">
        <v>132</v>
      </c>
      <c r="B153" t="s">
        <v>143</v>
      </c>
      <c r="C153">
        <v>11</v>
      </c>
      <c r="D153" t="s">
        <v>4</v>
      </c>
      <c r="E153">
        <v>0</v>
      </c>
      <c r="F153">
        <v>0</v>
      </c>
      <c r="G153">
        <v>0</v>
      </c>
      <c r="H153">
        <v>0</v>
      </c>
    </row>
    <row r="154" spans="1:8" x14ac:dyDescent="0.25">
      <c r="A154" t="s">
        <v>196</v>
      </c>
      <c r="B154" t="s">
        <v>208</v>
      </c>
      <c r="C154">
        <v>73</v>
      </c>
      <c r="D154" t="s">
        <v>4</v>
      </c>
      <c r="E154">
        <v>0</v>
      </c>
      <c r="F154">
        <v>0</v>
      </c>
      <c r="G154">
        <v>1360.3136</v>
      </c>
      <c r="H154">
        <v>47047.385300000002</v>
      </c>
    </row>
    <row r="155" spans="1:8" x14ac:dyDescent="0.25">
      <c r="A155" t="s">
        <v>173</v>
      </c>
      <c r="B155" t="s">
        <v>183</v>
      </c>
      <c r="C155">
        <v>49</v>
      </c>
      <c r="D155" t="s">
        <v>4</v>
      </c>
      <c r="E155">
        <v>-0.77110000000000001</v>
      </c>
      <c r="F155">
        <v>-27.301300000000001</v>
      </c>
      <c r="G155">
        <v>39.945099999999996</v>
      </c>
      <c r="H155">
        <v>1177.8995</v>
      </c>
    </row>
    <row r="156" spans="1:8" x14ac:dyDescent="0.25">
      <c r="A156" t="s">
        <v>196</v>
      </c>
      <c r="B156" t="s">
        <v>199</v>
      </c>
      <c r="C156">
        <v>64</v>
      </c>
      <c r="D156" t="s">
        <v>4</v>
      </c>
      <c r="E156">
        <v>0</v>
      </c>
      <c r="F156">
        <v>0</v>
      </c>
      <c r="G156">
        <v>6.0403000000000002</v>
      </c>
      <c r="H156">
        <v>738.58590000000004</v>
      </c>
    </row>
    <row r="157" spans="1:8" x14ac:dyDescent="0.25">
      <c r="A157" t="s">
        <v>173</v>
      </c>
      <c r="B157" t="s">
        <v>175</v>
      </c>
      <c r="C157">
        <v>41</v>
      </c>
      <c r="D157" t="s">
        <v>4</v>
      </c>
      <c r="E157">
        <v>0</v>
      </c>
      <c r="F157">
        <v>0</v>
      </c>
      <c r="G157">
        <v>0</v>
      </c>
      <c r="H157">
        <v>0</v>
      </c>
    </row>
    <row r="158" spans="1:8" x14ac:dyDescent="0.25">
      <c r="A158" t="s">
        <v>196</v>
      </c>
      <c r="B158" t="s">
        <v>198</v>
      </c>
      <c r="C158">
        <v>63</v>
      </c>
      <c r="D158" t="s">
        <v>4</v>
      </c>
      <c r="E158">
        <v>0</v>
      </c>
      <c r="F158">
        <v>0</v>
      </c>
      <c r="G158">
        <v>0</v>
      </c>
      <c r="H158">
        <v>0</v>
      </c>
    </row>
    <row r="159" spans="1:8" x14ac:dyDescent="0.25">
      <c r="A159" t="s">
        <v>154</v>
      </c>
      <c r="B159" t="s">
        <v>159</v>
      </c>
      <c r="C159">
        <v>26</v>
      </c>
      <c r="D159" t="s">
        <v>4</v>
      </c>
      <c r="E159">
        <v>-2.5907</v>
      </c>
      <c r="F159">
        <v>-72.408199999999994</v>
      </c>
      <c r="G159">
        <v>3.6179000000000001</v>
      </c>
      <c r="H159">
        <v>124.8079</v>
      </c>
    </row>
    <row r="160" spans="1:8" x14ac:dyDescent="0.25">
      <c r="A160" t="s">
        <v>154</v>
      </c>
      <c r="B160" t="s">
        <v>157</v>
      </c>
      <c r="C160">
        <v>24</v>
      </c>
      <c r="D160" t="s">
        <v>4</v>
      </c>
      <c r="E160">
        <v>-148.03880000000001</v>
      </c>
      <c r="F160">
        <v>-4298.009</v>
      </c>
      <c r="G160">
        <v>7.7047999999999996</v>
      </c>
      <c r="H160">
        <v>-169.49270000000001</v>
      </c>
    </row>
    <row r="161" spans="1:8" x14ac:dyDescent="0.25">
      <c r="A161" t="s">
        <v>132</v>
      </c>
      <c r="B161" t="s">
        <v>139</v>
      </c>
      <c r="C161">
        <v>7</v>
      </c>
      <c r="D161" t="s">
        <v>4</v>
      </c>
      <c r="E161">
        <v>0</v>
      </c>
      <c r="F161">
        <v>0</v>
      </c>
      <c r="G161">
        <v>1855.0823</v>
      </c>
      <c r="H161">
        <v>59681.941299999999</v>
      </c>
    </row>
    <row r="162" spans="1:8" x14ac:dyDescent="0.25">
      <c r="A162" t="s">
        <v>132</v>
      </c>
      <c r="B162" t="s">
        <v>145</v>
      </c>
      <c r="C162">
        <v>13</v>
      </c>
      <c r="D162" t="s">
        <v>4</v>
      </c>
      <c r="E162">
        <v>0</v>
      </c>
      <c r="F162">
        <v>0</v>
      </c>
      <c r="G162">
        <v>0</v>
      </c>
      <c r="H162">
        <v>0</v>
      </c>
    </row>
    <row r="163" spans="1:8" x14ac:dyDescent="0.25">
      <c r="A163" t="s">
        <v>196</v>
      </c>
      <c r="B163" t="s">
        <v>201</v>
      </c>
      <c r="C163">
        <v>66</v>
      </c>
      <c r="D163" t="s">
        <v>4</v>
      </c>
      <c r="E163">
        <v>0</v>
      </c>
      <c r="F163">
        <v>0</v>
      </c>
      <c r="G163">
        <v>0</v>
      </c>
      <c r="H163">
        <v>0</v>
      </c>
    </row>
    <row r="164" spans="1:8" x14ac:dyDescent="0.25">
      <c r="A164" t="s">
        <v>154</v>
      </c>
      <c r="B164" t="s">
        <v>155</v>
      </c>
      <c r="C164">
        <v>22</v>
      </c>
      <c r="D164" t="s">
        <v>4</v>
      </c>
      <c r="E164">
        <v>-1.9532</v>
      </c>
      <c r="F164">
        <v>-68.741900000000001</v>
      </c>
      <c r="G164">
        <v>173.40360000000001</v>
      </c>
      <c r="H164">
        <v>6927.7359999999999</v>
      </c>
    </row>
    <row r="165" spans="1:8" x14ac:dyDescent="0.25">
      <c r="A165" t="s">
        <v>196</v>
      </c>
      <c r="B165" t="s">
        <v>204</v>
      </c>
      <c r="C165">
        <v>69</v>
      </c>
      <c r="D165" t="s">
        <v>4</v>
      </c>
      <c r="E165">
        <v>0</v>
      </c>
      <c r="F165">
        <v>0</v>
      </c>
      <c r="G165">
        <v>50.383000000000003</v>
      </c>
      <c r="H165">
        <v>1722.7246</v>
      </c>
    </row>
    <row r="166" spans="1:8" x14ac:dyDescent="0.25">
      <c r="A166" t="s">
        <v>154</v>
      </c>
      <c r="B166" t="s">
        <v>165</v>
      </c>
      <c r="C166">
        <v>32</v>
      </c>
      <c r="D166" t="s">
        <v>4</v>
      </c>
      <c r="E166">
        <v>-1.0414000000000001</v>
      </c>
      <c r="F166">
        <v>-42.107999999999997</v>
      </c>
      <c r="G166">
        <v>3.8307000000000002</v>
      </c>
      <c r="H166">
        <v>96.064599999999999</v>
      </c>
    </row>
    <row r="167" spans="1:8" x14ac:dyDescent="0.25">
      <c r="A167" t="s">
        <v>173</v>
      </c>
      <c r="B167" t="s">
        <v>181</v>
      </c>
      <c r="C167">
        <v>47</v>
      </c>
      <c r="D167" t="s">
        <v>4</v>
      </c>
      <c r="E167">
        <v>-1.01E-2</v>
      </c>
      <c r="F167">
        <v>-0.34179999999999999</v>
      </c>
      <c r="G167">
        <v>3.9803000000000002</v>
      </c>
      <c r="H167">
        <v>137.87739999999999</v>
      </c>
    </row>
    <row r="168" spans="1:8" x14ac:dyDescent="0.25">
      <c r="A168" t="s">
        <v>196</v>
      </c>
      <c r="B168" t="s">
        <v>197</v>
      </c>
      <c r="C168">
        <v>62</v>
      </c>
      <c r="D168" t="s">
        <v>4</v>
      </c>
      <c r="E168">
        <v>-0.39860000000000001</v>
      </c>
      <c r="F168">
        <v>-11.672499999999999</v>
      </c>
      <c r="G168">
        <v>-11.709300000000001</v>
      </c>
      <c r="H168">
        <v>-6470.9621999999999</v>
      </c>
    </row>
    <row r="169" spans="1:8" x14ac:dyDescent="0.25">
      <c r="A169" t="s">
        <v>132</v>
      </c>
      <c r="B169" t="s">
        <v>153</v>
      </c>
      <c r="C169">
        <v>21</v>
      </c>
      <c r="D169" t="s">
        <v>4</v>
      </c>
      <c r="E169">
        <v>0</v>
      </c>
      <c r="F169">
        <v>0</v>
      </c>
      <c r="G169">
        <v>0</v>
      </c>
      <c r="H169">
        <v>0</v>
      </c>
    </row>
    <row r="170" spans="1:8" x14ac:dyDescent="0.25">
      <c r="A170" t="s">
        <v>154</v>
      </c>
      <c r="B170" t="s">
        <v>158</v>
      </c>
      <c r="C170">
        <v>25</v>
      </c>
      <c r="D170" t="s">
        <v>4</v>
      </c>
      <c r="E170">
        <v>-7.4928999999999997</v>
      </c>
      <c r="F170">
        <v>-215.17599999999999</v>
      </c>
      <c r="G170">
        <v>2.8529</v>
      </c>
      <c r="H170">
        <v>81.406400000000005</v>
      </c>
    </row>
    <row r="171" spans="1:8" x14ac:dyDescent="0.25">
      <c r="A171" t="s">
        <v>132</v>
      </c>
      <c r="B171" t="s">
        <v>152</v>
      </c>
      <c r="C171">
        <v>20</v>
      </c>
      <c r="D171" t="s">
        <v>4</v>
      </c>
      <c r="E171">
        <v>0</v>
      </c>
      <c r="F171">
        <v>0</v>
      </c>
      <c r="G171">
        <v>0</v>
      </c>
      <c r="H171">
        <v>0</v>
      </c>
    </row>
    <row r="172" spans="1:8" x14ac:dyDescent="0.25">
      <c r="A172" t="s">
        <v>173</v>
      </c>
      <c r="B172" t="s">
        <v>178</v>
      </c>
      <c r="C172">
        <v>44</v>
      </c>
      <c r="D172" t="s">
        <v>4</v>
      </c>
      <c r="E172">
        <v>-95.665899999999993</v>
      </c>
      <c r="F172">
        <v>-2855.2532000000001</v>
      </c>
      <c r="G172">
        <v>289.08969999999999</v>
      </c>
      <c r="H172">
        <v>14924.812</v>
      </c>
    </row>
    <row r="173" spans="1:8" x14ac:dyDescent="0.25">
      <c r="A173" t="s">
        <v>173</v>
      </c>
      <c r="B173" t="s">
        <v>182</v>
      </c>
      <c r="C173">
        <v>48</v>
      </c>
      <c r="D173" t="s">
        <v>4</v>
      </c>
      <c r="E173">
        <v>-281.99520000000001</v>
      </c>
      <c r="F173">
        <v>-8793.4668000000001</v>
      </c>
      <c r="G173">
        <v>214.87960000000001</v>
      </c>
      <c r="H173">
        <v>5556.5187999999998</v>
      </c>
    </row>
    <row r="174" spans="1:8" x14ac:dyDescent="0.25">
      <c r="A174" t="s">
        <v>132</v>
      </c>
      <c r="B174" t="s">
        <v>142</v>
      </c>
      <c r="C174">
        <v>10</v>
      </c>
      <c r="D174" t="s">
        <v>4</v>
      </c>
      <c r="E174">
        <v>-7.6531000000000002</v>
      </c>
      <c r="F174">
        <v>-212.11</v>
      </c>
      <c r="G174">
        <v>237.07640000000001</v>
      </c>
      <c r="H174">
        <v>5822.3937999999998</v>
      </c>
    </row>
    <row r="175" spans="1:8" x14ac:dyDescent="0.25">
      <c r="A175" t="s">
        <v>132</v>
      </c>
      <c r="B175" t="s">
        <v>140</v>
      </c>
      <c r="C175">
        <v>8</v>
      </c>
      <c r="D175" t="s">
        <v>4</v>
      </c>
      <c r="E175">
        <v>0</v>
      </c>
      <c r="F175">
        <v>0</v>
      </c>
      <c r="G175">
        <v>0</v>
      </c>
      <c r="H175">
        <v>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200"/>
  <sheetViews>
    <sheetView workbookViewId="0">
      <selection activeCell="W35" sqref="W32:W35"/>
    </sheetView>
  </sheetViews>
  <sheetFormatPr defaultRowHeight="15" x14ac:dyDescent="0.25"/>
  <cols>
    <col min="1" max="1" width="20" customWidth="1"/>
    <col min="2" max="2" width="15.5703125" customWidth="1"/>
    <col min="3" max="3" width="10.140625" customWidth="1"/>
    <col min="5" max="5" width="24.5703125" bestFit="1" customWidth="1"/>
    <col min="6" max="6" width="26.28515625" bestFit="1" customWidth="1"/>
    <col min="7" max="7" width="21.5703125" bestFit="1" customWidth="1"/>
  </cols>
  <sheetData>
    <row r="1" spans="1:32" s="6" customFormat="1" x14ac:dyDescent="0.25">
      <c r="A1" s="1" t="s">
        <v>0</v>
      </c>
      <c r="B1" s="1" t="s">
        <v>1</v>
      </c>
      <c r="C1" s="1" t="s">
        <v>3</v>
      </c>
      <c r="D1" s="1" t="s">
        <v>2</v>
      </c>
      <c r="E1" s="1" t="s">
        <v>9</v>
      </c>
      <c r="F1" s="1" t="s">
        <v>10</v>
      </c>
      <c r="G1" s="1" t="s">
        <v>377</v>
      </c>
      <c r="H1" s="1" t="s">
        <v>378</v>
      </c>
      <c r="I1" s="1" t="s">
        <v>11</v>
      </c>
      <c r="J1" s="1" t="s">
        <v>12</v>
      </c>
      <c r="K1" s="1" t="s">
        <v>13</v>
      </c>
      <c r="L1" s="1" t="s">
        <v>79</v>
      </c>
      <c r="M1" s="1" t="s">
        <v>80</v>
      </c>
      <c r="N1" s="1" t="s">
        <v>81</v>
      </c>
      <c r="O1" s="1" t="s">
        <v>82</v>
      </c>
      <c r="P1" s="1" t="s">
        <v>99</v>
      </c>
      <c r="Q1" s="1" t="s">
        <v>87</v>
      </c>
      <c r="R1" s="1" t="s">
        <v>88</v>
      </c>
      <c r="S1" s="1" t="s">
        <v>106</v>
      </c>
      <c r="T1" s="1" t="s">
        <v>89</v>
      </c>
      <c r="U1" s="1" t="s">
        <v>107</v>
      </c>
      <c r="V1" s="1" t="s">
        <v>69</v>
      </c>
      <c r="W1" s="1"/>
      <c r="X1" s="1"/>
      <c r="Y1" s="1"/>
      <c r="Z1" s="1"/>
      <c r="AA1" s="1"/>
      <c r="AB1" s="1"/>
      <c r="AC1" s="1"/>
      <c r="AD1" s="1"/>
      <c r="AE1" s="1"/>
      <c r="AF1" s="1"/>
    </row>
    <row r="2" spans="1:32" s="6" customFormat="1" x14ac:dyDescent="0.25">
      <c r="A2" s="6" t="s">
        <v>132</v>
      </c>
      <c r="B2" s="6" t="s">
        <v>133</v>
      </c>
      <c r="C2" s="93" t="s">
        <v>4</v>
      </c>
      <c r="D2" s="7">
        <v>1</v>
      </c>
      <c r="E2" s="8">
        <v>0</v>
      </c>
      <c r="F2" s="8">
        <v>0</v>
      </c>
      <c r="G2" s="8">
        <v>0</v>
      </c>
      <c r="H2" s="8">
        <v>0</v>
      </c>
      <c r="I2" s="8">
        <v>0</v>
      </c>
      <c r="J2" s="8">
        <v>0</v>
      </c>
      <c r="K2" s="8">
        <v>0</v>
      </c>
      <c r="L2" s="8">
        <v>0</v>
      </c>
      <c r="M2" s="8">
        <v>0</v>
      </c>
      <c r="N2" s="8">
        <v>0</v>
      </c>
      <c r="O2" s="8">
        <v>0</v>
      </c>
      <c r="P2" s="8">
        <v>0</v>
      </c>
      <c r="Q2" s="8">
        <v>0</v>
      </c>
      <c r="R2" s="8">
        <v>0</v>
      </c>
      <c r="S2" s="8">
        <v>0</v>
      </c>
      <c r="T2" s="8">
        <v>0</v>
      </c>
      <c r="U2" s="8">
        <v>0</v>
      </c>
      <c r="V2" s="8">
        <v>0</v>
      </c>
      <c r="W2" s="1"/>
      <c r="X2" s="1"/>
      <c r="Y2" s="1"/>
      <c r="Z2" s="1"/>
      <c r="AA2" s="1"/>
      <c r="AB2" s="1"/>
      <c r="AC2" s="1"/>
      <c r="AD2" s="1"/>
      <c r="AE2" s="1"/>
      <c r="AF2" s="1"/>
    </row>
    <row r="3" spans="1:32" s="6" customFormat="1" x14ac:dyDescent="0.25">
      <c r="A3" s="6" t="s">
        <v>132</v>
      </c>
      <c r="B3" s="6" t="s">
        <v>134</v>
      </c>
      <c r="C3" s="93" t="s">
        <v>4</v>
      </c>
      <c r="D3" s="7">
        <v>2</v>
      </c>
      <c r="E3" s="8">
        <v>0</v>
      </c>
      <c r="F3" s="8">
        <v>0</v>
      </c>
      <c r="G3" s="8">
        <v>0</v>
      </c>
      <c r="H3" s="8">
        <v>0</v>
      </c>
      <c r="I3" s="8">
        <v>0</v>
      </c>
      <c r="J3" s="8">
        <v>0</v>
      </c>
      <c r="K3" s="8">
        <v>0</v>
      </c>
      <c r="L3" s="8">
        <v>0</v>
      </c>
      <c r="M3" s="8">
        <v>0</v>
      </c>
      <c r="N3" s="8">
        <v>0</v>
      </c>
      <c r="O3" s="8">
        <v>0</v>
      </c>
      <c r="P3" s="8">
        <v>0</v>
      </c>
      <c r="Q3" s="8">
        <v>0</v>
      </c>
      <c r="R3" s="8">
        <v>0</v>
      </c>
      <c r="S3" s="8">
        <v>0</v>
      </c>
      <c r="T3" s="8">
        <v>0</v>
      </c>
      <c r="U3" s="8">
        <v>0</v>
      </c>
      <c r="V3" s="8">
        <v>0</v>
      </c>
      <c r="W3" s="1"/>
      <c r="X3" s="1"/>
      <c r="Y3" s="1"/>
      <c r="Z3" s="1"/>
      <c r="AA3" s="1"/>
      <c r="AB3" s="1"/>
      <c r="AC3" s="1"/>
      <c r="AD3" s="1"/>
      <c r="AE3" s="1"/>
      <c r="AF3" s="1"/>
    </row>
    <row r="4" spans="1:32" s="6" customFormat="1" x14ac:dyDescent="0.25">
      <c r="A4" s="6" t="s">
        <v>132</v>
      </c>
      <c r="B4" s="6" t="s">
        <v>135</v>
      </c>
      <c r="C4" s="93" t="s">
        <v>4</v>
      </c>
      <c r="D4" s="7">
        <v>3</v>
      </c>
      <c r="E4" s="8">
        <v>0</v>
      </c>
      <c r="F4" s="8">
        <v>0</v>
      </c>
      <c r="G4" s="8">
        <v>0</v>
      </c>
      <c r="H4" s="8">
        <v>0</v>
      </c>
      <c r="I4" s="8">
        <v>0</v>
      </c>
      <c r="J4" s="8">
        <v>0</v>
      </c>
      <c r="K4" s="8">
        <v>0</v>
      </c>
      <c r="L4" s="8">
        <v>0</v>
      </c>
      <c r="M4" s="8">
        <v>0</v>
      </c>
      <c r="N4" s="8">
        <v>0</v>
      </c>
      <c r="O4" s="8">
        <v>0</v>
      </c>
      <c r="P4" s="8">
        <v>0</v>
      </c>
      <c r="Q4" s="8">
        <v>0</v>
      </c>
      <c r="R4" s="8">
        <v>0</v>
      </c>
      <c r="S4" s="8">
        <v>0</v>
      </c>
      <c r="T4" s="8">
        <v>0</v>
      </c>
      <c r="U4" s="8">
        <v>0</v>
      </c>
      <c r="V4" s="8">
        <v>0</v>
      </c>
      <c r="W4" s="1"/>
      <c r="X4" s="1"/>
      <c r="Y4" s="1"/>
      <c r="Z4" s="1"/>
      <c r="AA4" s="1"/>
      <c r="AB4" s="1"/>
      <c r="AC4" s="1"/>
      <c r="AD4" s="1"/>
      <c r="AE4" s="1"/>
      <c r="AF4" s="1"/>
    </row>
    <row r="5" spans="1:32" s="6" customFormat="1" x14ac:dyDescent="0.25">
      <c r="A5" s="6" t="s">
        <v>132</v>
      </c>
      <c r="B5" s="6" t="s">
        <v>136</v>
      </c>
      <c r="C5" s="93" t="s">
        <v>4</v>
      </c>
      <c r="D5" s="7">
        <v>4</v>
      </c>
      <c r="E5" s="8">
        <v>0</v>
      </c>
      <c r="F5" s="8">
        <v>0</v>
      </c>
      <c r="G5" s="8">
        <v>0</v>
      </c>
      <c r="H5" s="8">
        <v>0</v>
      </c>
      <c r="I5" s="8">
        <v>0</v>
      </c>
      <c r="J5" s="8">
        <v>0</v>
      </c>
      <c r="K5" s="8">
        <v>0</v>
      </c>
      <c r="L5" s="8">
        <v>0</v>
      </c>
      <c r="M5" s="8">
        <v>0</v>
      </c>
      <c r="N5" s="8">
        <v>0</v>
      </c>
      <c r="O5" s="8">
        <v>0</v>
      </c>
      <c r="P5" s="8">
        <v>0</v>
      </c>
      <c r="Q5" s="8">
        <v>0</v>
      </c>
      <c r="R5" s="8">
        <v>0</v>
      </c>
      <c r="S5" s="8">
        <v>0</v>
      </c>
      <c r="T5" s="8">
        <v>0</v>
      </c>
      <c r="U5" s="8">
        <v>0</v>
      </c>
      <c r="V5" s="8">
        <v>0</v>
      </c>
      <c r="W5" s="1"/>
      <c r="X5" s="1"/>
      <c r="Y5" s="1"/>
      <c r="Z5" s="1"/>
      <c r="AA5" s="1"/>
      <c r="AB5" s="1"/>
      <c r="AC5" s="1"/>
      <c r="AD5" s="1"/>
      <c r="AE5" s="1"/>
      <c r="AF5" s="1"/>
    </row>
    <row r="6" spans="1:32" s="6" customFormat="1" x14ac:dyDescent="0.25">
      <c r="A6" s="6" t="s">
        <v>132</v>
      </c>
      <c r="B6" s="6" t="s">
        <v>137</v>
      </c>
      <c r="C6" s="93" t="s">
        <v>4</v>
      </c>
      <c r="D6" s="7">
        <v>5</v>
      </c>
      <c r="E6" s="8">
        <v>0</v>
      </c>
      <c r="F6" s="8">
        <v>0</v>
      </c>
      <c r="G6" s="8">
        <v>0</v>
      </c>
      <c r="H6" s="8">
        <v>0</v>
      </c>
      <c r="I6" s="8">
        <v>0</v>
      </c>
      <c r="J6" s="8">
        <v>0</v>
      </c>
      <c r="K6" s="8">
        <v>0</v>
      </c>
      <c r="L6" s="8">
        <v>0</v>
      </c>
      <c r="M6" s="8">
        <v>0</v>
      </c>
      <c r="N6" s="8">
        <v>0</v>
      </c>
      <c r="O6" s="8">
        <v>0</v>
      </c>
      <c r="P6" s="8">
        <v>0</v>
      </c>
      <c r="Q6" s="8">
        <v>0</v>
      </c>
      <c r="R6" s="8">
        <v>0</v>
      </c>
      <c r="S6" s="8">
        <v>0</v>
      </c>
      <c r="T6" s="8">
        <v>0</v>
      </c>
      <c r="U6" s="8">
        <v>0</v>
      </c>
      <c r="V6" s="8">
        <v>0</v>
      </c>
      <c r="W6" s="1"/>
      <c r="X6" s="1"/>
      <c r="Y6" s="1"/>
      <c r="Z6" s="1"/>
      <c r="AA6" s="1"/>
      <c r="AB6" s="1"/>
      <c r="AC6" s="1"/>
      <c r="AD6" s="1"/>
      <c r="AE6" s="1"/>
      <c r="AF6" s="1"/>
    </row>
    <row r="7" spans="1:32" s="6" customFormat="1" x14ac:dyDescent="0.25">
      <c r="A7" s="6" t="s">
        <v>132</v>
      </c>
      <c r="B7" s="6" t="s">
        <v>138</v>
      </c>
      <c r="C7" s="93" t="s">
        <v>4</v>
      </c>
      <c r="D7" s="7">
        <v>6</v>
      </c>
      <c r="E7" s="8">
        <v>0</v>
      </c>
      <c r="F7" s="8">
        <v>0</v>
      </c>
      <c r="G7" s="8">
        <v>0</v>
      </c>
      <c r="H7" s="8">
        <v>0</v>
      </c>
      <c r="I7" s="8">
        <v>0</v>
      </c>
      <c r="J7" s="8">
        <v>0</v>
      </c>
      <c r="K7" s="8">
        <v>0</v>
      </c>
      <c r="L7" s="8">
        <v>0</v>
      </c>
      <c r="M7" s="8">
        <v>0</v>
      </c>
      <c r="N7" s="8">
        <v>0</v>
      </c>
      <c r="O7" s="8">
        <v>0</v>
      </c>
      <c r="P7" s="8">
        <v>0</v>
      </c>
      <c r="Q7" s="8">
        <v>0</v>
      </c>
      <c r="R7" s="8">
        <v>0</v>
      </c>
      <c r="S7" s="8">
        <v>0</v>
      </c>
      <c r="T7" s="8">
        <v>0</v>
      </c>
      <c r="U7" s="8">
        <v>0</v>
      </c>
      <c r="V7" s="8">
        <v>0</v>
      </c>
      <c r="W7" s="1"/>
      <c r="X7" s="1"/>
      <c r="Y7" s="1"/>
      <c r="Z7" s="1"/>
      <c r="AA7" s="1"/>
      <c r="AB7" s="1"/>
      <c r="AC7" s="1"/>
      <c r="AD7" s="1"/>
      <c r="AE7" s="1"/>
      <c r="AF7" s="1"/>
    </row>
    <row r="8" spans="1:32" s="6" customFormat="1" x14ac:dyDescent="0.25">
      <c r="A8" s="6" t="s">
        <v>132</v>
      </c>
      <c r="B8" s="6" t="s">
        <v>139</v>
      </c>
      <c r="C8" s="93" t="s">
        <v>4</v>
      </c>
      <c r="D8" s="7">
        <v>7</v>
      </c>
      <c r="E8" s="8">
        <v>0</v>
      </c>
      <c r="F8" s="8">
        <v>0</v>
      </c>
      <c r="G8" s="8">
        <v>0</v>
      </c>
      <c r="H8" s="8">
        <v>0</v>
      </c>
      <c r="I8" s="8">
        <v>0</v>
      </c>
      <c r="J8" s="8">
        <v>0</v>
      </c>
      <c r="K8" s="8">
        <v>0</v>
      </c>
      <c r="L8" s="8">
        <v>0</v>
      </c>
      <c r="M8" s="8">
        <v>0</v>
      </c>
      <c r="N8" s="8">
        <v>0</v>
      </c>
      <c r="O8" s="8">
        <v>0</v>
      </c>
      <c r="P8" s="8">
        <v>0</v>
      </c>
      <c r="Q8" s="8">
        <v>0</v>
      </c>
      <c r="R8" s="8">
        <v>0</v>
      </c>
      <c r="S8" s="8">
        <v>0</v>
      </c>
      <c r="T8" s="8">
        <v>0</v>
      </c>
      <c r="U8" s="8">
        <v>0</v>
      </c>
      <c r="V8" s="8">
        <v>0</v>
      </c>
      <c r="W8" s="1"/>
      <c r="X8" s="1"/>
      <c r="Y8" s="1"/>
      <c r="Z8" s="1"/>
      <c r="AA8" s="1"/>
      <c r="AB8" s="1"/>
      <c r="AC8" s="1"/>
      <c r="AD8" s="1"/>
      <c r="AE8" s="1"/>
      <c r="AF8" s="1"/>
    </row>
    <row r="9" spans="1:32" s="6" customFormat="1" x14ac:dyDescent="0.25">
      <c r="A9" s="6" t="s">
        <v>132</v>
      </c>
      <c r="B9" s="6" t="s">
        <v>140</v>
      </c>
      <c r="C9" s="93" t="s">
        <v>4</v>
      </c>
      <c r="D9" s="7">
        <v>8</v>
      </c>
      <c r="E9" s="8">
        <v>0</v>
      </c>
      <c r="F9" s="8">
        <v>0</v>
      </c>
      <c r="G9" s="8">
        <v>0</v>
      </c>
      <c r="H9" s="8">
        <v>0</v>
      </c>
      <c r="I9" s="8">
        <v>0</v>
      </c>
      <c r="J9" s="8">
        <v>0</v>
      </c>
      <c r="K9" s="8">
        <v>0</v>
      </c>
      <c r="L9" s="8">
        <v>0</v>
      </c>
      <c r="M9" s="8">
        <v>0</v>
      </c>
      <c r="N9" s="8">
        <v>0</v>
      </c>
      <c r="O9" s="8">
        <v>0</v>
      </c>
      <c r="P9" s="8">
        <v>0</v>
      </c>
      <c r="Q9" s="8">
        <v>0</v>
      </c>
      <c r="R9" s="8">
        <v>0</v>
      </c>
      <c r="S9" s="8">
        <v>0</v>
      </c>
      <c r="T9" s="8">
        <v>0</v>
      </c>
      <c r="U9" s="8">
        <v>0</v>
      </c>
      <c r="V9" s="8">
        <v>0</v>
      </c>
      <c r="W9" s="1"/>
      <c r="X9" s="1"/>
      <c r="Y9" s="1"/>
      <c r="Z9" s="1"/>
      <c r="AA9" s="1"/>
      <c r="AB9" s="1"/>
      <c r="AC9" s="1"/>
      <c r="AD9" s="1"/>
      <c r="AE9" s="1"/>
      <c r="AF9" s="1"/>
    </row>
    <row r="10" spans="1:32" s="6" customFormat="1" x14ac:dyDescent="0.25">
      <c r="A10" s="6" t="s">
        <v>132</v>
      </c>
      <c r="B10" s="6" t="s">
        <v>141</v>
      </c>
      <c r="C10" s="93" t="s">
        <v>4</v>
      </c>
      <c r="D10" s="7">
        <v>9</v>
      </c>
      <c r="E10" s="8">
        <v>0</v>
      </c>
      <c r="F10" s="8">
        <v>0</v>
      </c>
      <c r="G10" s="8">
        <v>0</v>
      </c>
      <c r="H10" s="8">
        <v>0</v>
      </c>
      <c r="I10" s="8">
        <v>0</v>
      </c>
      <c r="J10" s="8">
        <v>0</v>
      </c>
      <c r="K10" s="8">
        <v>0</v>
      </c>
      <c r="L10" s="8">
        <v>0</v>
      </c>
      <c r="M10" s="8">
        <v>0</v>
      </c>
      <c r="N10" s="8">
        <v>0</v>
      </c>
      <c r="O10" s="8">
        <v>0</v>
      </c>
      <c r="P10" s="8">
        <v>0</v>
      </c>
      <c r="Q10" s="8">
        <v>0</v>
      </c>
      <c r="R10" s="8">
        <v>0</v>
      </c>
      <c r="S10" s="8">
        <v>0</v>
      </c>
      <c r="T10" s="8">
        <v>0</v>
      </c>
      <c r="U10" s="8">
        <v>0</v>
      </c>
      <c r="V10" s="8">
        <v>0</v>
      </c>
      <c r="W10" s="1"/>
      <c r="X10" s="1"/>
      <c r="Y10" s="1"/>
      <c r="Z10" s="1"/>
      <c r="AA10" s="1"/>
      <c r="AB10" s="1"/>
      <c r="AC10" s="1"/>
      <c r="AD10" s="1"/>
      <c r="AE10" s="1"/>
      <c r="AF10" s="1"/>
    </row>
    <row r="11" spans="1:32" s="6" customFormat="1" x14ac:dyDescent="0.25">
      <c r="A11" s="6" t="s">
        <v>132</v>
      </c>
      <c r="B11" s="6" t="s">
        <v>142</v>
      </c>
      <c r="C11" s="93" t="s">
        <v>4</v>
      </c>
      <c r="D11" s="7">
        <v>10</v>
      </c>
      <c r="E11" s="8">
        <v>0</v>
      </c>
      <c r="F11" s="8">
        <v>0</v>
      </c>
      <c r="G11" s="8">
        <v>0</v>
      </c>
      <c r="H11" s="8">
        <v>0</v>
      </c>
      <c r="I11" s="8">
        <v>0</v>
      </c>
      <c r="J11" s="8">
        <v>0</v>
      </c>
      <c r="K11" s="8">
        <v>0</v>
      </c>
      <c r="L11" s="8">
        <v>0</v>
      </c>
      <c r="M11" s="8">
        <v>0</v>
      </c>
      <c r="N11" s="8">
        <v>0</v>
      </c>
      <c r="O11" s="8">
        <v>0</v>
      </c>
      <c r="P11" s="8">
        <v>0</v>
      </c>
      <c r="Q11" s="8">
        <v>0</v>
      </c>
      <c r="R11" s="8">
        <v>0</v>
      </c>
      <c r="S11" s="8">
        <v>0</v>
      </c>
      <c r="T11" s="8">
        <v>0</v>
      </c>
      <c r="U11" s="8">
        <v>0</v>
      </c>
      <c r="V11" s="8">
        <v>0</v>
      </c>
      <c r="W11" s="1"/>
      <c r="X11" s="1"/>
      <c r="Y11" s="1"/>
      <c r="Z11" s="1"/>
      <c r="AA11" s="1"/>
      <c r="AB11" s="1"/>
      <c r="AC11" s="1"/>
      <c r="AD11" s="1"/>
      <c r="AE11" s="1"/>
      <c r="AF11" s="1"/>
    </row>
    <row r="12" spans="1:32" s="6" customFormat="1" x14ac:dyDescent="0.25">
      <c r="A12" s="6" t="s">
        <v>132</v>
      </c>
      <c r="B12" s="6" t="s">
        <v>143</v>
      </c>
      <c r="C12" s="93" t="s">
        <v>4</v>
      </c>
      <c r="D12" s="7">
        <v>11</v>
      </c>
      <c r="E12" s="8">
        <v>0</v>
      </c>
      <c r="F12" s="8">
        <v>0</v>
      </c>
      <c r="G12" s="8">
        <v>0</v>
      </c>
      <c r="H12" s="8">
        <v>0</v>
      </c>
      <c r="I12" s="8">
        <v>0</v>
      </c>
      <c r="J12" s="8">
        <v>0</v>
      </c>
      <c r="K12" s="8">
        <v>0</v>
      </c>
      <c r="L12" s="8">
        <v>0</v>
      </c>
      <c r="M12" s="8">
        <v>0</v>
      </c>
      <c r="N12" s="8">
        <v>0</v>
      </c>
      <c r="O12" s="8">
        <v>0</v>
      </c>
      <c r="P12" s="8">
        <v>0</v>
      </c>
      <c r="Q12" s="8">
        <v>0</v>
      </c>
      <c r="R12" s="8">
        <v>0</v>
      </c>
      <c r="S12" s="8">
        <v>0</v>
      </c>
      <c r="T12" s="8">
        <v>0</v>
      </c>
      <c r="U12" s="8">
        <v>0</v>
      </c>
      <c r="V12" s="8">
        <v>0</v>
      </c>
      <c r="W12" s="1"/>
      <c r="X12" s="1"/>
      <c r="Y12" s="1"/>
      <c r="Z12" s="1"/>
      <c r="AA12" s="1"/>
      <c r="AB12" s="1"/>
      <c r="AC12" s="1"/>
      <c r="AD12" s="1"/>
      <c r="AE12" s="1"/>
      <c r="AF12" s="1"/>
    </row>
    <row r="13" spans="1:32" s="6" customFormat="1" x14ac:dyDescent="0.25">
      <c r="A13" s="6" t="s">
        <v>132</v>
      </c>
      <c r="B13" s="6" t="s">
        <v>144</v>
      </c>
      <c r="C13" s="93" t="s">
        <v>4</v>
      </c>
      <c r="D13" s="7">
        <v>12</v>
      </c>
      <c r="E13" s="8">
        <v>0</v>
      </c>
      <c r="F13" s="8">
        <v>0</v>
      </c>
      <c r="G13" s="8">
        <v>0</v>
      </c>
      <c r="H13" s="8">
        <v>0</v>
      </c>
      <c r="I13" s="8">
        <v>0</v>
      </c>
      <c r="J13" s="8">
        <v>0</v>
      </c>
      <c r="K13" s="8">
        <v>0</v>
      </c>
      <c r="L13" s="8">
        <v>0</v>
      </c>
      <c r="M13" s="8">
        <v>0</v>
      </c>
      <c r="N13" s="8">
        <v>0</v>
      </c>
      <c r="O13" s="8">
        <v>0</v>
      </c>
      <c r="P13" s="8">
        <v>0</v>
      </c>
      <c r="Q13" s="8">
        <v>0</v>
      </c>
      <c r="R13" s="8">
        <v>0</v>
      </c>
      <c r="S13" s="8">
        <v>0</v>
      </c>
      <c r="T13" s="8">
        <v>0</v>
      </c>
      <c r="U13" s="8">
        <v>0</v>
      </c>
      <c r="V13" s="8">
        <v>0</v>
      </c>
      <c r="W13" s="1"/>
      <c r="X13" s="1"/>
      <c r="Y13" s="1"/>
      <c r="Z13" s="1"/>
      <c r="AA13" s="1"/>
      <c r="AB13" s="1"/>
      <c r="AC13" s="1"/>
      <c r="AD13" s="1"/>
      <c r="AE13" s="1"/>
      <c r="AF13" s="1"/>
    </row>
    <row r="14" spans="1:32" s="6" customFormat="1" x14ac:dyDescent="0.25">
      <c r="A14" s="6" t="s">
        <v>132</v>
      </c>
      <c r="B14" s="6" t="s">
        <v>145</v>
      </c>
      <c r="C14" s="93" t="s">
        <v>4</v>
      </c>
      <c r="D14" s="7">
        <v>13</v>
      </c>
      <c r="E14" s="8">
        <v>0</v>
      </c>
      <c r="F14" s="8">
        <v>0</v>
      </c>
      <c r="G14" s="8">
        <v>0</v>
      </c>
      <c r="H14" s="8">
        <v>0</v>
      </c>
      <c r="I14" s="8">
        <v>0</v>
      </c>
      <c r="J14" s="8">
        <v>0</v>
      </c>
      <c r="K14" s="8">
        <v>0</v>
      </c>
      <c r="L14" s="8">
        <v>0</v>
      </c>
      <c r="M14" s="8">
        <v>0</v>
      </c>
      <c r="N14" s="8">
        <v>0</v>
      </c>
      <c r="O14" s="8">
        <v>0</v>
      </c>
      <c r="P14" s="8">
        <v>0</v>
      </c>
      <c r="Q14" s="8">
        <v>0</v>
      </c>
      <c r="R14" s="8">
        <v>0</v>
      </c>
      <c r="S14" s="8">
        <v>0</v>
      </c>
      <c r="T14" s="8">
        <v>0</v>
      </c>
      <c r="U14" s="8">
        <v>0</v>
      </c>
      <c r="V14" s="8">
        <v>0</v>
      </c>
      <c r="W14" s="1"/>
      <c r="X14" s="1"/>
      <c r="Y14" s="1"/>
      <c r="Z14" s="1"/>
      <c r="AA14" s="1"/>
      <c r="AB14" s="1"/>
      <c r="AC14" s="1"/>
      <c r="AD14" s="1"/>
      <c r="AE14" s="1"/>
      <c r="AF14" s="1"/>
    </row>
    <row r="15" spans="1:32" s="6" customFormat="1" x14ac:dyDescent="0.25">
      <c r="A15" s="6" t="s">
        <v>132</v>
      </c>
      <c r="B15" s="6" t="s">
        <v>146</v>
      </c>
      <c r="C15" s="93" t="s">
        <v>4</v>
      </c>
      <c r="D15" s="7">
        <v>14</v>
      </c>
      <c r="E15" s="8">
        <v>0</v>
      </c>
      <c r="F15" s="8">
        <v>0</v>
      </c>
      <c r="G15" s="8">
        <v>0</v>
      </c>
      <c r="H15" s="8">
        <v>0</v>
      </c>
      <c r="I15" s="8">
        <v>0</v>
      </c>
      <c r="J15" s="8">
        <v>0</v>
      </c>
      <c r="K15" s="8">
        <v>0</v>
      </c>
      <c r="L15" s="8">
        <v>0</v>
      </c>
      <c r="M15" s="8">
        <v>0</v>
      </c>
      <c r="N15" s="8">
        <v>0</v>
      </c>
      <c r="O15" s="8">
        <v>0</v>
      </c>
      <c r="P15" s="8">
        <v>0</v>
      </c>
      <c r="Q15" s="8">
        <v>0</v>
      </c>
      <c r="R15" s="8">
        <v>0</v>
      </c>
      <c r="S15" s="8">
        <v>0</v>
      </c>
      <c r="T15" s="8">
        <v>0</v>
      </c>
      <c r="U15" s="8">
        <v>0</v>
      </c>
      <c r="V15" s="8">
        <v>0</v>
      </c>
      <c r="W15" s="1"/>
      <c r="X15" s="1"/>
      <c r="Y15" s="1"/>
      <c r="Z15" s="1"/>
      <c r="AA15" s="1"/>
      <c r="AB15" s="1"/>
      <c r="AC15" s="1"/>
      <c r="AD15" s="1"/>
      <c r="AE15" s="1"/>
      <c r="AF15" s="1"/>
    </row>
    <row r="16" spans="1:32" s="6" customFormat="1" x14ac:dyDescent="0.25">
      <c r="A16" s="6" t="s">
        <v>132</v>
      </c>
      <c r="B16" s="6" t="s">
        <v>147</v>
      </c>
      <c r="C16" s="93" t="s">
        <v>4</v>
      </c>
      <c r="D16" s="7">
        <v>15</v>
      </c>
      <c r="E16" s="8">
        <v>0</v>
      </c>
      <c r="F16" s="8">
        <v>0</v>
      </c>
      <c r="G16" s="8">
        <v>0</v>
      </c>
      <c r="H16" s="8">
        <v>0</v>
      </c>
      <c r="I16" s="8">
        <v>0</v>
      </c>
      <c r="J16" s="8">
        <v>0</v>
      </c>
      <c r="K16" s="8">
        <v>0</v>
      </c>
      <c r="L16" s="8">
        <v>0</v>
      </c>
      <c r="M16" s="8">
        <v>0</v>
      </c>
      <c r="N16" s="8">
        <v>0</v>
      </c>
      <c r="O16" s="8">
        <v>0</v>
      </c>
      <c r="P16" s="8">
        <v>0</v>
      </c>
      <c r="Q16" s="8">
        <v>0</v>
      </c>
      <c r="R16" s="8">
        <v>0</v>
      </c>
      <c r="S16" s="8">
        <v>0</v>
      </c>
      <c r="T16" s="8">
        <v>0</v>
      </c>
      <c r="U16" s="8">
        <v>0</v>
      </c>
      <c r="V16" s="8">
        <v>0</v>
      </c>
      <c r="W16" s="1"/>
      <c r="X16" s="1"/>
      <c r="Y16" s="1"/>
      <c r="Z16" s="1"/>
      <c r="AA16" s="1"/>
      <c r="AB16" s="1"/>
      <c r="AC16" s="1"/>
      <c r="AD16" s="1"/>
      <c r="AE16" s="1"/>
      <c r="AF16" s="1"/>
    </row>
    <row r="17" spans="1:32" s="6" customFormat="1" x14ac:dyDescent="0.25">
      <c r="A17" s="6" t="s">
        <v>132</v>
      </c>
      <c r="B17" s="6" t="s">
        <v>148</v>
      </c>
      <c r="C17" s="93" t="s">
        <v>4</v>
      </c>
      <c r="D17" s="7">
        <v>16</v>
      </c>
      <c r="E17" s="8">
        <v>0</v>
      </c>
      <c r="F17" s="8">
        <v>0</v>
      </c>
      <c r="G17" s="8">
        <v>0</v>
      </c>
      <c r="H17" s="8">
        <v>0</v>
      </c>
      <c r="I17" s="8">
        <v>0</v>
      </c>
      <c r="J17" s="8">
        <v>0</v>
      </c>
      <c r="K17" s="8">
        <v>0</v>
      </c>
      <c r="L17" s="8">
        <v>0</v>
      </c>
      <c r="M17" s="8">
        <v>0</v>
      </c>
      <c r="N17" s="8">
        <v>0</v>
      </c>
      <c r="O17" s="8">
        <v>0</v>
      </c>
      <c r="P17" s="8">
        <v>0</v>
      </c>
      <c r="Q17" s="8">
        <v>0</v>
      </c>
      <c r="R17" s="8">
        <v>0</v>
      </c>
      <c r="S17" s="8">
        <v>0</v>
      </c>
      <c r="T17" s="8">
        <v>0</v>
      </c>
      <c r="U17" s="8">
        <v>0</v>
      </c>
      <c r="V17" s="8">
        <v>0</v>
      </c>
      <c r="W17" s="1"/>
      <c r="X17" s="1"/>
      <c r="Y17" s="1"/>
      <c r="Z17" s="1"/>
      <c r="AA17" s="1"/>
      <c r="AB17" s="1"/>
      <c r="AC17" s="1"/>
      <c r="AD17" s="1"/>
      <c r="AE17" s="1"/>
      <c r="AF17" s="1"/>
    </row>
    <row r="18" spans="1:32" s="6" customFormat="1" x14ac:dyDescent="0.25">
      <c r="A18" s="6" t="s">
        <v>132</v>
      </c>
      <c r="B18" s="6" t="s">
        <v>149</v>
      </c>
      <c r="C18" s="93" t="s">
        <v>4</v>
      </c>
      <c r="D18" s="7">
        <v>17</v>
      </c>
      <c r="E18" s="8">
        <v>0</v>
      </c>
      <c r="F18" s="8">
        <v>0</v>
      </c>
      <c r="G18" s="8">
        <v>0</v>
      </c>
      <c r="H18" s="8">
        <v>0</v>
      </c>
      <c r="I18" s="8">
        <v>0</v>
      </c>
      <c r="J18" s="8">
        <v>0</v>
      </c>
      <c r="K18" s="8">
        <v>0</v>
      </c>
      <c r="L18" s="8">
        <v>0</v>
      </c>
      <c r="M18" s="8">
        <v>0</v>
      </c>
      <c r="N18" s="8">
        <v>0</v>
      </c>
      <c r="O18" s="8">
        <v>0</v>
      </c>
      <c r="P18" s="8">
        <v>0</v>
      </c>
      <c r="Q18" s="8">
        <v>0</v>
      </c>
      <c r="R18" s="8">
        <v>0</v>
      </c>
      <c r="S18" s="8">
        <v>0</v>
      </c>
      <c r="T18" s="8">
        <v>0</v>
      </c>
      <c r="U18" s="8">
        <v>0</v>
      </c>
      <c r="V18" s="8">
        <v>0</v>
      </c>
      <c r="W18" s="1"/>
      <c r="X18" s="1"/>
      <c r="Y18" s="1"/>
      <c r="Z18" s="1"/>
      <c r="AA18" s="1"/>
      <c r="AB18" s="1"/>
      <c r="AC18" s="1"/>
      <c r="AD18" s="1"/>
      <c r="AE18" s="1"/>
      <c r="AF18" s="1"/>
    </row>
    <row r="19" spans="1:32" s="6" customFormat="1" x14ac:dyDescent="0.25">
      <c r="A19" s="6" t="s">
        <v>132</v>
      </c>
      <c r="B19" s="6" t="s">
        <v>150</v>
      </c>
      <c r="C19" s="93" t="s">
        <v>4</v>
      </c>
      <c r="D19" s="7">
        <v>18</v>
      </c>
      <c r="E19" s="8">
        <v>0</v>
      </c>
      <c r="F19" s="8">
        <v>0</v>
      </c>
      <c r="G19" s="8">
        <v>0</v>
      </c>
      <c r="H19" s="8">
        <v>0</v>
      </c>
      <c r="I19" s="8">
        <v>0</v>
      </c>
      <c r="J19" s="8">
        <v>0</v>
      </c>
      <c r="K19" s="8">
        <v>0</v>
      </c>
      <c r="L19" s="8">
        <v>0</v>
      </c>
      <c r="M19" s="8">
        <v>0</v>
      </c>
      <c r="N19" s="8">
        <v>0</v>
      </c>
      <c r="O19" s="8">
        <v>0</v>
      </c>
      <c r="P19" s="8">
        <v>0</v>
      </c>
      <c r="Q19" s="8">
        <v>0</v>
      </c>
      <c r="R19" s="8">
        <v>0</v>
      </c>
      <c r="S19" s="8">
        <v>0</v>
      </c>
      <c r="T19" s="8">
        <v>0</v>
      </c>
      <c r="U19" s="8">
        <v>0</v>
      </c>
      <c r="V19" s="8">
        <v>0</v>
      </c>
      <c r="W19" s="1"/>
      <c r="X19" s="1"/>
      <c r="Y19" s="1"/>
      <c r="Z19" s="1"/>
      <c r="AA19" s="1"/>
      <c r="AB19" s="1"/>
      <c r="AC19" s="1"/>
      <c r="AD19" s="1"/>
      <c r="AE19" s="1"/>
      <c r="AF19" s="1"/>
    </row>
    <row r="20" spans="1:32" s="6" customFormat="1" x14ac:dyDescent="0.25">
      <c r="A20" s="6" t="s">
        <v>132</v>
      </c>
      <c r="B20" s="6" t="s">
        <v>151</v>
      </c>
      <c r="C20" s="93" t="s">
        <v>4</v>
      </c>
      <c r="D20" s="7">
        <v>19</v>
      </c>
      <c r="E20" s="8">
        <v>0</v>
      </c>
      <c r="F20" s="8">
        <v>0</v>
      </c>
      <c r="G20" s="8">
        <v>0</v>
      </c>
      <c r="H20" s="8">
        <v>0</v>
      </c>
      <c r="I20" s="8">
        <v>0</v>
      </c>
      <c r="J20" s="8">
        <v>0</v>
      </c>
      <c r="K20" s="8">
        <v>0</v>
      </c>
      <c r="L20" s="8">
        <v>0</v>
      </c>
      <c r="M20" s="8">
        <v>0</v>
      </c>
      <c r="N20" s="8">
        <v>0</v>
      </c>
      <c r="O20" s="8">
        <v>0</v>
      </c>
      <c r="P20" s="8">
        <v>0</v>
      </c>
      <c r="Q20" s="8">
        <v>0</v>
      </c>
      <c r="R20" s="8">
        <v>0</v>
      </c>
      <c r="S20" s="8">
        <v>0</v>
      </c>
      <c r="T20" s="8">
        <v>0</v>
      </c>
      <c r="U20" s="8">
        <v>0</v>
      </c>
      <c r="V20" s="8">
        <v>0</v>
      </c>
      <c r="W20" s="1"/>
      <c r="X20" s="1"/>
      <c r="Y20" s="1"/>
      <c r="Z20" s="1"/>
      <c r="AA20" s="1"/>
      <c r="AB20" s="1"/>
      <c r="AC20" s="1"/>
      <c r="AD20" s="1"/>
      <c r="AE20" s="1"/>
      <c r="AF20" s="1"/>
    </row>
    <row r="21" spans="1:32" s="6" customFormat="1" x14ac:dyDescent="0.25">
      <c r="A21" s="6" t="s">
        <v>132</v>
      </c>
      <c r="B21" s="6" t="s">
        <v>152</v>
      </c>
      <c r="C21" s="93" t="s">
        <v>4</v>
      </c>
      <c r="D21" s="7">
        <v>20</v>
      </c>
      <c r="E21" s="8">
        <v>0</v>
      </c>
      <c r="F21" s="8">
        <v>0</v>
      </c>
      <c r="G21" s="8">
        <v>0</v>
      </c>
      <c r="H21" s="8">
        <v>0</v>
      </c>
      <c r="I21" s="8">
        <v>0</v>
      </c>
      <c r="J21" s="8">
        <v>0</v>
      </c>
      <c r="K21" s="8">
        <v>0</v>
      </c>
      <c r="L21" s="8">
        <v>0</v>
      </c>
      <c r="M21" s="8">
        <v>0</v>
      </c>
      <c r="N21" s="8">
        <v>0</v>
      </c>
      <c r="O21" s="8">
        <v>0</v>
      </c>
      <c r="P21" s="8">
        <v>0</v>
      </c>
      <c r="Q21" s="8">
        <v>0</v>
      </c>
      <c r="R21" s="8">
        <v>0</v>
      </c>
      <c r="S21" s="8">
        <v>0</v>
      </c>
      <c r="T21" s="8">
        <v>0</v>
      </c>
      <c r="U21" s="8">
        <v>0</v>
      </c>
      <c r="V21" s="8">
        <v>0</v>
      </c>
      <c r="W21" s="1"/>
      <c r="X21" s="1"/>
      <c r="Y21" s="1"/>
      <c r="Z21" s="1"/>
      <c r="AA21" s="1"/>
      <c r="AB21" s="1"/>
      <c r="AC21" s="1"/>
      <c r="AD21" s="1"/>
      <c r="AE21" s="1"/>
      <c r="AF21" s="1"/>
    </row>
    <row r="22" spans="1:32" s="6" customFormat="1" x14ac:dyDescent="0.25">
      <c r="A22" s="6" t="s">
        <v>132</v>
      </c>
      <c r="B22" s="6" t="s">
        <v>153</v>
      </c>
      <c r="C22" s="93" t="s">
        <v>4</v>
      </c>
      <c r="D22" s="7">
        <v>21</v>
      </c>
      <c r="E22" s="8">
        <v>0</v>
      </c>
      <c r="F22" s="8">
        <v>0</v>
      </c>
      <c r="G22" s="8">
        <v>0</v>
      </c>
      <c r="H22" s="8">
        <v>0</v>
      </c>
      <c r="I22" s="8">
        <v>0</v>
      </c>
      <c r="J22" s="8">
        <v>0</v>
      </c>
      <c r="K22" s="8">
        <v>0</v>
      </c>
      <c r="L22" s="8">
        <v>0</v>
      </c>
      <c r="M22" s="8">
        <v>0</v>
      </c>
      <c r="N22" s="8">
        <v>0</v>
      </c>
      <c r="O22" s="8">
        <v>0</v>
      </c>
      <c r="P22" s="8">
        <v>0</v>
      </c>
      <c r="Q22" s="8">
        <v>0</v>
      </c>
      <c r="R22" s="8">
        <v>0</v>
      </c>
      <c r="S22" s="8">
        <v>0</v>
      </c>
      <c r="T22" s="8">
        <v>0</v>
      </c>
      <c r="U22" s="8">
        <v>0</v>
      </c>
      <c r="V22" s="8">
        <v>0</v>
      </c>
      <c r="W22" s="1"/>
      <c r="X22" s="1"/>
      <c r="Y22" s="1"/>
      <c r="Z22" s="1"/>
      <c r="AA22" s="1"/>
      <c r="AB22" s="1"/>
      <c r="AC22" s="1"/>
      <c r="AD22" s="1"/>
      <c r="AE22" s="1"/>
      <c r="AF22" s="1"/>
    </row>
    <row r="23" spans="1:32" s="6" customFormat="1" x14ac:dyDescent="0.25">
      <c r="A23" s="6" t="s">
        <v>154</v>
      </c>
      <c r="B23" s="6" t="s">
        <v>155</v>
      </c>
      <c r="C23" s="93" t="s">
        <v>4</v>
      </c>
      <c r="D23" s="7">
        <v>22</v>
      </c>
      <c r="E23" s="8">
        <v>0</v>
      </c>
      <c r="F23" s="8">
        <v>0</v>
      </c>
      <c r="G23" s="8">
        <v>0</v>
      </c>
      <c r="H23" s="8">
        <v>0</v>
      </c>
      <c r="I23" s="8">
        <v>0</v>
      </c>
      <c r="J23" s="8">
        <v>0</v>
      </c>
      <c r="K23" s="8">
        <v>0</v>
      </c>
      <c r="L23" s="8">
        <v>0</v>
      </c>
      <c r="M23" s="8">
        <v>0</v>
      </c>
      <c r="N23" s="8">
        <v>0</v>
      </c>
      <c r="O23" s="8">
        <v>0</v>
      </c>
      <c r="P23" s="8">
        <v>0</v>
      </c>
      <c r="Q23" s="8">
        <v>0</v>
      </c>
      <c r="R23" s="8">
        <v>0</v>
      </c>
      <c r="S23" s="8">
        <v>0</v>
      </c>
      <c r="T23" s="8">
        <v>0</v>
      </c>
      <c r="U23" s="8">
        <v>0</v>
      </c>
      <c r="V23" s="8">
        <v>0</v>
      </c>
      <c r="W23" s="1"/>
      <c r="X23" s="1"/>
      <c r="Y23" s="1"/>
      <c r="Z23" s="1"/>
      <c r="AA23" s="1"/>
      <c r="AB23" s="1"/>
      <c r="AC23" s="1"/>
      <c r="AD23" s="1"/>
      <c r="AE23" s="1"/>
      <c r="AF23" s="1"/>
    </row>
    <row r="24" spans="1:32" s="6" customFormat="1" x14ac:dyDescent="0.25">
      <c r="A24" s="6" t="s">
        <v>154</v>
      </c>
      <c r="B24" s="6" t="s">
        <v>156</v>
      </c>
      <c r="C24" s="93" t="s">
        <v>4</v>
      </c>
      <c r="D24" s="7">
        <v>23</v>
      </c>
      <c r="E24" s="8">
        <v>0</v>
      </c>
      <c r="F24" s="8">
        <v>0</v>
      </c>
      <c r="G24" s="8">
        <v>0</v>
      </c>
      <c r="H24" s="8">
        <v>0</v>
      </c>
      <c r="I24" s="8">
        <v>0</v>
      </c>
      <c r="J24" s="8">
        <v>0</v>
      </c>
      <c r="K24" s="8">
        <v>0</v>
      </c>
      <c r="L24" s="8">
        <v>0</v>
      </c>
      <c r="M24" s="8">
        <v>0</v>
      </c>
      <c r="N24" s="8">
        <v>0</v>
      </c>
      <c r="O24" s="8">
        <v>0</v>
      </c>
      <c r="P24" s="8">
        <v>0</v>
      </c>
      <c r="Q24" s="8">
        <v>0</v>
      </c>
      <c r="R24" s="8">
        <v>0</v>
      </c>
      <c r="S24" s="8">
        <v>0</v>
      </c>
      <c r="T24" s="8">
        <v>0</v>
      </c>
      <c r="U24" s="8">
        <v>0</v>
      </c>
      <c r="V24" s="8">
        <v>0</v>
      </c>
      <c r="W24" s="1"/>
      <c r="X24" s="1"/>
      <c r="Y24" s="1"/>
      <c r="Z24" s="1"/>
      <c r="AA24" s="1"/>
      <c r="AB24" s="1"/>
      <c r="AC24" s="1"/>
      <c r="AD24" s="1"/>
      <c r="AE24" s="1"/>
      <c r="AF24" s="1"/>
    </row>
    <row r="25" spans="1:32" s="6" customFormat="1" x14ac:dyDescent="0.25">
      <c r="A25" s="6" t="s">
        <v>154</v>
      </c>
      <c r="B25" s="6" t="s">
        <v>157</v>
      </c>
      <c r="C25" s="93" t="s">
        <v>4</v>
      </c>
      <c r="D25" s="7">
        <v>24</v>
      </c>
      <c r="E25" s="8">
        <v>0</v>
      </c>
      <c r="F25" s="8">
        <v>0</v>
      </c>
      <c r="G25" s="8">
        <v>0</v>
      </c>
      <c r="H25" s="8">
        <v>0</v>
      </c>
      <c r="I25" s="8">
        <v>0</v>
      </c>
      <c r="J25" s="8">
        <v>0</v>
      </c>
      <c r="K25" s="8">
        <v>0</v>
      </c>
      <c r="L25" s="8">
        <v>0</v>
      </c>
      <c r="M25" s="8">
        <v>0</v>
      </c>
      <c r="N25" s="8">
        <v>0</v>
      </c>
      <c r="O25" s="8">
        <v>0</v>
      </c>
      <c r="P25" s="8">
        <v>0</v>
      </c>
      <c r="Q25" s="8">
        <v>0</v>
      </c>
      <c r="R25" s="8">
        <v>0</v>
      </c>
      <c r="S25" s="8">
        <v>0</v>
      </c>
      <c r="T25" s="8">
        <v>0</v>
      </c>
      <c r="U25" s="8">
        <v>0</v>
      </c>
      <c r="V25" s="8">
        <v>0</v>
      </c>
      <c r="W25" s="1"/>
      <c r="X25" s="1"/>
      <c r="Y25" s="1"/>
      <c r="Z25" s="1"/>
      <c r="AA25" s="1"/>
      <c r="AB25" s="1"/>
      <c r="AC25" s="1"/>
      <c r="AD25" s="1"/>
      <c r="AE25" s="1"/>
      <c r="AF25" s="1"/>
    </row>
    <row r="26" spans="1:32" s="6" customFormat="1" x14ac:dyDescent="0.25">
      <c r="A26" s="6" t="s">
        <v>154</v>
      </c>
      <c r="B26" s="6" t="s">
        <v>158</v>
      </c>
      <c r="C26" s="93" t="s">
        <v>4</v>
      </c>
      <c r="D26" s="7">
        <v>25</v>
      </c>
      <c r="E26" s="8">
        <v>0</v>
      </c>
      <c r="F26" s="8">
        <v>0</v>
      </c>
      <c r="G26" s="8">
        <v>0</v>
      </c>
      <c r="H26" s="8">
        <v>0</v>
      </c>
      <c r="I26" s="8">
        <v>0</v>
      </c>
      <c r="J26" s="8">
        <v>0</v>
      </c>
      <c r="K26" s="8">
        <v>0</v>
      </c>
      <c r="L26" s="8">
        <v>0</v>
      </c>
      <c r="M26" s="8">
        <v>0</v>
      </c>
      <c r="N26" s="8">
        <v>0</v>
      </c>
      <c r="O26" s="8">
        <v>0</v>
      </c>
      <c r="P26" s="8">
        <v>0</v>
      </c>
      <c r="Q26" s="8">
        <v>0</v>
      </c>
      <c r="R26" s="8">
        <v>0</v>
      </c>
      <c r="S26" s="8">
        <v>0</v>
      </c>
      <c r="T26" s="8">
        <v>0</v>
      </c>
      <c r="U26" s="8">
        <v>0</v>
      </c>
      <c r="V26" s="8">
        <v>0</v>
      </c>
      <c r="W26" s="1"/>
      <c r="X26" s="1"/>
      <c r="Y26" s="1"/>
      <c r="Z26" s="1"/>
      <c r="AA26" s="1"/>
      <c r="AB26" s="1"/>
      <c r="AC26" s="1"/>
      <c r="AD26" s="1"/>
      <c r="AE26" s="1"/>
      <c r="AF26" s="1"/>
    </row>
    <row r="27" spans="1:32" s="6" customFormat="1" x14ac:dyDescent="0.25">
      <c r="A27" s="6" t="s">
        <v>154</v>
      </c>
      <c r="B27" s="6" t="s">
        <v>159</v>
      </c>
      <c r="C27" s="93" t="s">
        <v>4</v>
      </c>
      <c r="D27" s="7">
        <v>26</v>
      </c>
      <c r="E27" s="8">
        <v>0</v>
      </c>
      <c r="F27" s="8">
        <v>0</v>
      </c>
      <c r="G27" s="8">
        <v>0</v>
      </c>
      <c r="H27" s="8">
        <v>0</v>
      </c>
      <c r="I27" s="8">
        <v>0</v>
      </c>
      <c r="J27" s="8">
        <v>0</v>
      </c>
      <c r="K27" s="8">
        <v>0</v>
      </c>
      <c r="L27" s="8">
        <v>0</v>
      </c>
      <c r="M27" s="8">
        <v>0</v>
      </c>
      <c r="N27" s="8">
        <v>0</v>
      </c>
      <c r="O27" s="8">
        <v>0</v>
      </c>
      <c r="P27" s="8">
        <v>0</v>
      </c>
      <c r="Q27" s="8">
        <v>0</v>
      </c>
      <c r="R27" s="8">
        <v>0</v>
      </c>
      <c r="S27" s="8">
        <v>0</v>
      </c>
      <c r="T27" s="8">
        <v>0</v>
      </c>
      <c r="U27" s="8">
        <v>0</v>
      </c>
      <c r="V27" s="8">
        <v>0</v>
      </c>
      <c r="W27" s="1"/>
      <c r="X27" s="1"/>
      <c r="Y27" s="1"/>
      <c r="Z27" s="1"/>
      <c r="AA27" s="1"/>
      <c r="AB27" s="1"/>
      <c r="AC27" s="1"/>
      <c r="AD27" s="1"/>
      <c r="AE27" s="1"/>
      <c r="AF27" s="1"/>
    </row>
    <row r="28" spans="1:32" s="6" customFormat="1" x14ac:dyDescent="0.25">
      <c r="A28" s="6" t="s">
        <v>154</v>
      </c>
      <c r="B28" s="6" t="s">
        <v>160</v>
      </c>
      <c r="C28" s="93" t="s">
        <v>4</v>
      </c>
      <c r="D28" s="7">
        <v>27</v>
      </c>
      <c r="E28" s="8">
        <v>0</v>
      </c>
      <c r="F28" s="8">
        <v>0</v>
      </c>
      <c r="G28" s="8">
        <v>0</v>
      </c>
      <c r="H28" s="8">
        <v>0</v>
      </c>
      <c r="I28" s="8">
        <v>0</v>
      </c>
      <c r="J28" s="8">
        <v>0</v>
      </c>
      <c r="K28" s="8">
        <v>0</v>
      </c>
      <c r="L28" s="8">
        <v>0</v>
      </c>
      <c r="M28" s="8">
        <v>0</v>
      </c>
      <c r="N28" s="8">
        <v>0</v>
      </c>
      <c r="O28" s="8">
        <v>0</v>
      </c>
      <c r="P28" s="8">
        <v>0</v>
      </c>
      <c r="Q28" s="8">
        <v>0</v>
      </c>
      <c r="R28" s="8">
        <v>0</v>
      </c>
      <c r="S28" s="8">
        <v>0</v>
      </c>
      <c r="T28" s="8">
        <v>0</v>
      </c>
      <c r="U28" s="8">
        <v>0</v>
      </c>
      <c r="V28" s="8">
        <v>0</v>
      </c>
      <c r="W28" s="1"/>
      <c r="X28" s="1"/>
      <c r="Y28" s="1"/>
      <c r="Z28" s="1"/>
      <c r="AA28" s="1"/>
      <c r="AB28" s="1"/>
      <c r="AC28" s="1"/>
      <c r="AD28" s="1"/>
      <c r="AE28" s="1"/>
      <c r="AF28" s="1"/>
    </row>
    <row r="29" spans="1:32" s="6" customFormat="1" x14ac:dyDescent="0.25">
      <c r="A29" s="6" t="s">
        <v>154</v>
      </c>
      <c r="B29" s="6" t="s">
        <v>161</v>
      </c>
      <c r="C29" s="93" t="s">
        <v>4</v>
      </c>
      <c r="D29" s="7">
        <v>28</v>
      </c>
      <c r="E29" s="8">
        <v>0</v>
      </c>
      <c r="F29" s="8">
        <v>0</v>
      </c>
      <c r="G29" s="8">
        <v>0</v>
      </c>
      <c r="H29" s="8">
        <v>0</v>
      </c>
      <c r="I29" s="8">
        <v>0</v>
      </c>
      <c r="J29" s="8">
        <v>0</v>
      </c>
      <c r="K29" s="8">
        <v>0</v>
      </c>
      <c r="L29" s="8">
        <v>0</v>
      </c>
      <c r="M29" s="8">
        <v>0</v>
      </c>
      <c r="N29" s="8">
        <v>0</v>
      </c>
      <c r="O29" s="8">
        <v>0</v>
      </c>
      <c r="P29" s="8">
        <v>0</v>
      </c>
      <c r="Q29" s="8">
        <v>0</v>
      </c>
      <c r="R29" s="8">
        <v>0</v>
      </c>
      <c r="S29" s="8">
        <v>0</v>
      </c>
      <c r="T29" s="8">
        <v>0</v>
      </c>
      <c r="U29" s="8">
        <v>0</v>
      </c>
      <c r="V29" s="8">
        <v>0</v>
      </c>
      <c r="W29" s="1"/>
      <c r="X29" s="1"/>
      <c r="Y29" s="1"/>
      <c r="Z29" s="1"/>
      <c r="AA29" s="1"/>
      <c r="AB29" s="1"/>
      <c r="AC29" s="1"/>
      <c r="AD29" s="1"/>
      <c r="AE29" s="1"/>
      <c r="AF29" s="1"/>
    </row>
    <row r="30" spans="1:32" s="6" customFormat="1" x14ac:dyDescent="0.25">
      <c r="A30" s="6" t="s">
        <v>154</v>
      </c>
      <c r="B30" s="6" t="s">
        <v>162</v>
      </c>
      <c r="C30" s="93" t="s">
        <v>4</v>
      </c>
      <c r="D30" s="7">
        <v>29</v>
      </c>
      <c r="E30" s="8">
        <v>0</v>
      </c>
      <c r="F30" s="8">
        <v>0</v>
      </c>
      <c r="G30" s="8">
        <v>0</v>
      </c>
      <c r="H30" s="8">
        <v>0</v>
      </c>
      <c r="I30" s="8">
        <v>0</v>
      </c>
      <c r="J30" s="8">
        <v>0</v>
      </c>
      <c r="K30" s="8">
        <v>0</v>
      </c>
      <c r="L30" s="8">
        <v>0</v>
      </c>
      <c r="M30" s="8">
        <v>0</v>
      </c>
      <c r="N30" s="8">
        <v>0</v>
      </c>
      <c r="O30" s="8">
        <v>0</v>
      </c>
      <c r="P30" s="8">
        <v>0</v>
      </c>
      <c r="Q30" s="8">
        <v>0</v>
      </c>
      <c r="R30" s="8">
        <v>0</v>
      </c>
      <c r="S30" s="8">
        <v>0</v>
      </c>
      <c r="T30" s="8">
        <v>0</v>
      </c>
      <c r="U30" s="8">
        <v>0</v>
      </c>
      <c r="V30" s="8">
        <v>0</v>
      </c>
      <c r="W30" s="1"/>
      <c r="X30" s="1"/>
      <c r="Y30" s="1"/>
      <c r="Z30" s="1"/>
      <c r="AA30" s="1"/>
      <c r="AB30" s="1"/>
      <c r="AC30" s="1"/>
      <c r="AD30" s="1"/>
      <c r="AE30" s="1"/>
      <c r="AF30" s="1"/>
    </row>
    <row r="31" spans="1:32" s="6" customFormat="1" x14ac:dyDescent="0.25">
      <c r="A31" s="6" t="s">
        <v>154</v>
      </c>
      <c r="B31" s="6" t="s">
        <v>163</v>
      </c>
      <c r="C31" s="93" t="s">
        <v>4</v>
      </c>
      <c r="D31" s="7">
        <v>30</v>
      </c>
      <c r="E31" s="8">
        <v>0</v>
      </c>
      <c r="F31" s="8">
        <v>0</v>
      </c>
      <c r="G31" s="8">
        <v>0</v>
      </c>
      <c r="H31" s="8">
        <v>0</v>
      </c>
      <c r="I31" s="8">
        <v>0</v>
      </c>
      <c r="J31" s="8">
        <v>0</v>
      </c>
      <c r="K31" s="8">
        <v>0</v>
      </c>
      <c r="L31" s="8">
        <v>0</v>
      </c>
      <c r="M31" s="8">
        <v>0</v>
      </c>
      <c r="N31" s="8">
        <v>0</v>
      </c>
      <c r="O31" s="8">
        <v>0</v>
      </c>
      <c r="P31" s="8">
        <v>0</v>
      </c>
      <c r="Q31" s="8">
        <v>0</v>
      </c>
      <c r="R31" s="8">
        <v>0</v>
      </c>
      <c r="S31" s="8">
        <v>0</v>
      </c>
      <c r="T31" s="8">
        <v>0</v>
      </c>
      <c r="U31" s="8">
        <v>0</v>
      </c>
      <c r="V31" s="8">
        <v>0</v>
      </c>
      <c r="W31" s="1"/>
      <c r="X31" s="1"/>
      <c r="Y31" s="1"/>
      <c r="Z31" s="1"/>
      <c r="AA31" s="1"/>
      <c r="AB31" s="1"/>
      <c r="AC31" s="1"/>
      <c r="AD31" s="1"/>
      <c r="AE31" s="1"/>
      <c r="AF31" s="1"/>
    </row>
    <row r="32" spans="1:32" s="6" customFormat="1" x14ac:dyDescent="0.25">
      <c r="A32" s="6" t="s">
        <v>154</v>
      </c>
      <c r="B32" s="6" t="s">
        <v>164</v>
      </c>
      <c r="C32" s="93" t="s">
        <v>4</v>
      </c>
      <c r="D32" s="7">
        <v>31</v>
      </c>
      <c r="E32" s="8">
        <v>0</v>
      </c>
      <c r="F32" s="8">
        <v>0</v>
      </c>
      <c r="G32" s="8">
        <v>0</v>
      </c>
      <c r="H32" s="8">
        <v>0</v>
      </c>
      <c r="I32" s="8">
        <v>0</v>
      </c>
      <c r="J32" s="8">
        <v>0</v>
      </c>
      <c r="K32" s="8">
        <v>0</v>
      </c>
      <c r="L32" s="8">
        <v>0</v>
      </c>
      <c r="M32" s="8">
        <v>0</v>
      </c>
      <c r="N32" s="8">
        <v>0</v>
      </c>
      <c r="O32" s="8">
        <v>0</v>
      </c>
      <c r="P32" s="8">
        <v>0</v>
      </c>
      <c r="Q32" s="8">
        <v>0</v>
      </c>
      <c r="R32" s="8">
        <v>0</v>
      </c>
      <c r="S32" s="8">
        <v>0</v>
      </c>
      <c r="T32" s="8">
        <v>0</v>
      </c>
      <c r="U32" s="8">
        <v>0</v>
      </c>
      <c r="V32" s="8">
        <v>0</v>
      </c>
      <c r="W32" s="1"/>
      <c r="X32" s="1"/>
      <c r="Y32" s="1"/>
      <c r="Z32" s="1"/>
      <c r="AA32" s="1"/>
      <c r="AB32" s="1"/>
      <c r="AC32" s="1"/>
      <c r="AD32" s="1"/>
      <c r="AE32" s="1"/>
      <c r="AF32" s="1"/>
    </row>
    <row r="33" spans="1:32" s="6" customFormat="1" x14ac:dyDescent="0.25">
      <c r="A33" s="6" t="s">
        <v>154</v>
      </c>
      <c r="B33" s="6" t="s">
        <v>165</v>
      </c>
      <c r="C33" s="93" t="s">
        <v>4</v>
      </c>
      <c r="D33" s="7">
        <v>32</v>
      </c>
      <c r="E33" s="8">
        <v>0</v>
      </c>
      <c r="F33" s="8">
        <v>0</v>
      </c>
      <c r="G33" s="8">
        <v>0</v>
      </c>
      <c r="H33" s="8">
        <v>0</v>
      </c>
      <c r="I33" s="8">
        <v>0</v>
      </c>
      <c r="J33" s="8">
        <v>0</v>
      </c>
      <c r="K33" s="8">
        <v>0</v>
      </c>
      <c r="L33" s="8">
        <v>0</v>
      </c>
      <c r="M33" s="8">
        <v>0</v>
      </c>
      <c r="N33" s="8">
        <v>0</v>
      </c>
      <c r="O33" s="8">
        <v>0</v>
      </c>
      <c r="P33" s="8">
        <v>0</v>
      </c>
      <c r="Q33" s="8">
        <v>0</v>
      </c>
      <c r="R33" s="8">
        <v>0</v>
      </c>
      <c r="S33" s="8">
        <v>0</v>
      </c>
      <c r="T33" s="8">
        <v>0</v>
      </c>
      <c r="U33" s="8">
        <v>0</v>
      </c>
      <c r="V33" s="8">
        <v>0</v>
      </c>
      <c r="W33" s="1"/>
      <c r="X33" s="1"/>
      <c r="Y33" s="1"/>
      <c r="Z33" s="1"/>
      <c r="AA33" s="1"/>
      <c r="AB33" s="1"/>
      <c r="AC33" s="1"/>
      <c r="AD33" s="1"/>
      <c r="AE33" s="1"/>
      <c r="AF33" s="1"/>
    </row>
    <row r="34" spans="1:32" s="6" customFormat="1" x14ac:dyDescent="0.25">
      <c r="A34" s="6" t="s">
        <v>154</v>
      </c>
      <c r="B34" s="6" t="s">
        <v>166</v>
      </c>
      <c r="C34" s="93" t="s">
        <v>4</v>
      </c>
      <c r="D34" s="7">
        <v>33</v>
      </c>
      <c r="E34" s="8">
        <v>0</v>
      </c>
      <c r="F34" s="8">
        <v>0</v>
      </c>
      <c r="G34" s="8">
        <v>0</v>
      </c>
      <c r="H34" s="8">
        <v>0</v>
      </c>
      <c r="I34" s="8">
        <v>0</v>
      </c>
      <c r="J34" s="8">
        <v>0</v>
      </c>
      <c r="K34" s="8">
        <v>0</v>
      </c>
      <c r="L34" s="8">
        <v>0</v>
      </c>
      <c r="M34" s="8">
        <v>0</v>
      </c>
      <c r="N34" s="8">
        <v>0</v>
      </c>
      <c r="O34" s="8">
        <v>0</v>
      </c>
      <c r="P34" s="8">
        <v>0</v>
      </c>
      <c r="Q34" s="8">
        <v>0</v>
      </c>
      <c r="R34" s="8">
        <v>0</v>
      </c>
      <c r="S34" s="8">
        <v>0</v>
      </c>
      <c r="T34" s="8">
        <v>0</v>
      </c>
      <c r="U34" s="8">
        <v>0</v>
      </c>
      <c r="V34" s="8">
        <v>0</v>
      </c>
      <c r="W34" s="1"/>
      <c r="X34" s="1"/>
      <c r="Y34" s="1"/>
      <c r="Z34" s="1"/>
      <c r="AA34" s="1"/>
      <c r="AB34" s="1"/>
      <c r="AC34" s="1"/>
      <c r="AD34" s="1"/>
      <c r="AE34" s="1"/>
      <c r="AF34" s="1"/>
    </row>
    <row r="35" spans="1:32" s="6" customFormat="1" x14ac:dyDescent="0.25">
      <c r="A35" s="6" t="s">
        <v>154</v>
      </c>
      <c r="B35" s="6" t="s">
        <v>167</v>
      </c>
      <c r="C35" s="93" t="s">
        <v>4</v>
      </c>
      <c r="D35" s="7">
        <v>34</v>
      </c>
      <c r="E35" s="8">
        <v>0</v>
      </c>
      <c r="F35" s="8">
        <v>0</v>
      </c>
      <c r="G35" s="8">
        <v>0</v>
      </c>
      <c r="H35" s="8">
        <v>0</v>
      </c>
      <c r="I35" s="8">
        <v>0</v>
      </c>
      <c r="J35" s="8">
        <v>0</v>
      </c>
      <c r="K35" s="8">
        <v>0</v>
      </c>
      <c r="L35" s="8">
        <v>0</v>
      </c>
      <c r="M35" s="8">
        <v>0</v>
      </c>
      <c r="N35" s="8">
        <v>0</v>
      </c>
      <c r="O35" s="8">
        <v>0</v>
      </c>
      <c r="P35" s="8">
        <v>0</v>
      </c>
      <c r="Q35" s="8">
        <v>0</v>
      </c>
      <c r="R35" s="8">
        <v>0</v>
      </c>
      <c r="S35" s="8">
        <v>0</v>
      </c>
      <c r="T35" s="8">
        <v>0</v>
      </c>
      <c r="U35" s="8">
        <v>0</v>
      </c>
      <c r="V35" s="8">
        <v>0</v>
      </c>
      <c r="W35" s="1"/>
      <c r="X35" s="1"/>
      <c r="Y35" s="1"/>
      <c r="Z35" s="1"/>
      <c r="AA35" s="1"/>
      <c r="AB35" s="1"/>
      <c r="AC35" s="1"/>
      <c r="AD35" s="1"/>
      <c r="AE35" s="1"/>
      <c r="AF35" s="1"/>
    </row>
    <row r="36" spans="1:32" s="6" customFormat="1" x14ac:dyDescent="0.25">
      <c r="A36" s="6" t="s">
        <v>154</v>
      </c>
      <c r="B36" s="6" t="s">
        <v>168</v>
      </c>
      <c r="C36" s="93" t="s">
        <v>4</v>
      </c>
      <c r="D36" s="7">
        <v>35</v>
      </c>
      <c r="E36" s="8">
        <v>0</v>
      </c>
      <c r="F36" s="8">
        <v>0</v>
      </c>
      <c r="G36" s="8">
        <v>0</v>
      </c>
      <c r="H36" s="8">
        <v>0</v>
      </c>
      <c r="I36" s="8">
        <v>0</v>
      </c>
      <c r="J36" s="8">
        <v>0</v>
      </c>
      <c r="K36" s="8">
        <v>0</v>
      </c>
      <c r="L36" s="8">
        <v>0</v>
      </c>
      <c r="M36" s="8">
        <v>0</v>
      </c>
      <c r="N36" s="8">
        <v>0</v>
      </c>
      <c r="O36" s="8">
        <v>0</v>
      </c>
      <c r="P36" s="8">
        <v>0</v>
      </c>
      <c r="Q36" s="8">
        <v>0</v>
      </c>
      <c r="R36" s="8">
        <v>0</v>
      </c>
      <c r="S36" s="8">
        <v>0</v>
      </c>
      <c r="T36" s="8">
        <v>0</v>
      </c>
      <c r="U36" s="8">
        <v>0</v>
      </c>
      <c r="V36" s="8">
        <v>0</v>
      </c>
      <c r="W36" s="1"/>
      <c r="X36" s="1"/>
      <c r="Y36" s="1"/>
      <c r="Z36" s="1"/>
      <c r="AA36" s="1"/>
      <c r="AB36" s="1"/>
      <c r="AC36" s="1"/>
      <c r="AD36" s="1"/>
      <c r="AE36" s="1"/>
      <c r="AF36" s="1"/>
    </row>
    <row r="37" spans="1:32" s="6" customFormat="1" x14ac:dyDescent="0.25">
      <c r="A37" s="6" t="s">
        <v>154</v>
      </c>
      <c r="B37" s="6" t="s">
        <v>169</v>
      </c>
      <c r="C37" s="93" t="s">
        <v>4</v>
      </c>
      <c r="D37" s="7">
        <v>36</v>
      </c>
      <c r="E37" s="8">
        <v>0</v>
      </c>
      <c r="F37" s="8">
        <v>0</v>
      </c>
      <c r="G37" s="8">
        <v>0</v>
      </c>
      <c r="H37" s="8">
        <v>0</v>
      </c>
      <c r="I37" s="8">
        <v>0</v>
      </c>
      <c r="J37" s="8">
        <v>0</v>
      </c>
      <c r="K37" s="8">
        <v>0</v>
      </c>
      <c r="L37" s="8">
        <v>0</v>
      </c>
      <c r="M37" s="8">
        <v>0</v>
      </c>
      <c r="N37" s="8">
        <v>0</v>
      </c>
      <c r="O37" s="8">
        <v>0</v>
      </c>
      <c r="P37" s="8">
        <v>0</v>
      </c>
      <c r="Q37" s="8">
        <v>0</v>
      </c>
      <c r="R37" s="8">
        <v>0</v>
      </c>
      <c r="S37" s="8">
        <v>0</v>
      </c>
      <c r="T37" s="8">
        <v>0</v>
      </c>
      <c r="U37" s="8">
        <v>0</v>
      </c>
      <c r="V37" s="8">
        <v>0</v>
      </c>
      <c r="W37" s="1"/>
      <c r="X37" s="1"/>
      <c r="Y37" s="1"/>
      <c r="Z37" s="1"/>
      <c r="AA37" s="1"/>
      <c r="AB37" s="1"/>
      <c r="AC37" s="1"/>
      <c r="AD37" s="1"/>
      <c r="AE37" s="1"/>
      <c r="AF37" s="1"/>
    </row>
    <row r="38" spans="1:32" s="6" customFormat="1" x14ac:dyDescent="0.25">
      <c r="A38" s="6" t="s">
        <v>154</v>
      </c>
      <c r="B38" s="6" t="s">
        <v>170</v>
      </c>
      <c r="C38" s="93" t="s">
        <v>4</v>
      </c>
      <c r="D38" s="7">
        <v>37</v>
      </c>
      <c r="E38" s="8">
        <v>0</v>
      </c>
      <c r="F38" s="8">
        <v>0</v>
      </c>
      <c r="G38" s="8">
        <v>0</v>
      </c>
      <c r="H38" s="8">
        <v>0</v>
      </c>
      <c r="I38" s="8">
        <v>0</v>
      </c>
      <c r="J38" s="8">
        <v>0</v>
      </c>
      <c r="K38" s="8">
        <v>0</v>
      </c>
      <c r="L38" s="8">
        <v>0</v>
      </c>
      <c r="M38" s="8">
        <v>0</v>
      </c>
      <c r="N38" s="8">
        <v>0</v>
      </c>
      <c r="O38" s="8">
        <v>0</v>
      </c>
      <c r="P38" s="8">
        <v>0</v>
      </c>
      <c r="Q38" s="8">
        <v>0</v>
      </c>
      <c r="R38" s="8">
        <v>0</v>
      </c>
      <c r="S38" s="8">
        <v>0</v>
      </c>
      <c r="T38" s="8">
        <v>0</v>
      </c>
      <c r="U38" s="8">
        <v>0</v>
      </c>
      <c r="V38" s="8">
        <v>0</v>
      </c>
      <c r="W38" s="1"/>
      <c r="X38" s="1"/>
      <c r="Y38" s="1"/>
      <c r="Z38" s="1"/>
      <c r="AA38" s="1"/>
      <c r="AB38" s="1"/>
      <c r="AC38" s="1"/>
      <c r="AD38" s="1"/>
      <c r="AE38" s="1"/>
      <c r="AF38" s="1"/>
    </row>
    <row r="39" spans="1:32" s="6" customFormat="1" x14ac:dyDescent="0.25">
      <c r="A39" s="6" t="s">
        <v>154</v>
      </c>
      <c r="B39" s="6" t="s">
        <v>171</v>
      </c>
      <c r="C39" s="93" t="s">
        <v>4</v>
      </c>
      <c r="D39" s="7">
        <v>38</v>
      </c>
      <c r="E39" s="8">
        <v>0</v>
      </c>
      <c r="F39" s="8">
        <v>0</v>
      </c>
      <c r="G39" s="8">
        <v>0</v>
      </c>
      <c r="H39" s="8">
        <v>0</v>
      </c>
      <c r="I39" s="8">
        <v>0</v>
      </c>
      <c r="J39" s="8">
        <v>0</v>
      </c>
      <c r="K39" s="8">
        <v>0</v>
      </c>
      <c r="L39" s="8">
        <v>0</v>
      </c>
      <c r="M39" s="8">
        <v>0</v>
      </c>
      <c r="N39" s="8">
        <v>0</v>
      </c>
      <c r="O39" s="8">
        <v>0</v>
      </c>
      <c r="P39" s="8">
        <v>0</v>
      </c>
      <c r="Q39" s="8">
        <v>0</v>
      </c>
      <c r="R39" s="8">
        <v>0</v>
      </c>
      <c r="S39" s="8">
        <v>0</v>
      </c>
      <c r="T39" s="8">
        <v>0</v>
      </c>
      <c r="U39" s="8">
        <v>0</v>
      </c>
      <c r="V39" s="8">
        <v>0</v>
      </c>
      <c r="W39" s="1"/>
      <c r="X39" s="1"/>
      <c r="Y39" s="1"/>
      <c r="Z39" s="1"/>
      <c r="AA39" s="1"/>
      <c r="AB39" s="1"/>
      <c r="AC39" s="1"/>
      <c r="AD39" s="1"/>
      <c r="AE39" s="1"/>
      <c r="AF39" s="1"/>
    </row>
    <row r="40" spans="1:32" s="6" customFormat="1" x14ac:dyDescent="0.25">
      <c r="A40" s="6" t="s">
        <v>154</v>
      </c>
      <c r="B40" s="6" t="s">
        <v>172</v>
      </c>
      <c r="C40" s="93" t="s">
        <v>4</v>
      </c>
      <c r="D40" s="7">
        <v>39</v>
      </c>
      <c r="E40" s="8">
        <v>0</v>
      </c>
      <c r="F40" s="8">
        <v>0</v>
      </c>
      <c r="G40" s="8">
        <v>0</v>
      </c>
      <c r="H40" s="8">
        <v>0</v>
      </c>
      <c r="I40" s="8">
        <v>0</v>
      </c>
      <c r="J40" s="8">
        <v>0</v>
      </c>
      <c r="K40" s="8">
        <v>0</v>
      </c>
      <c r="L40" s="8">
        <v>0</v>
      </c>
      <c r="M40" s="8">
        <v>0</v>
      </c>
      <c r="N40" s="8">
        <v>0</v>
      </c>
      <c r="O40" s="8">
        <v>0</v>
      </c>
      <c r="P40" s="8">
        <v>0</v>
      </c>
      <c r="Q40" s="8">
        <v>0</v>
      </c>
      <c r="R40" s="8">
        <v>0</v>
      </c>
      <c r="S40" s="8">
        <v>0</v>
      </c>
      <c r="T40" s="8">
        <v>0</v>
      </c>
      <c r="U40" s="8">
        <v>0</v>
      </c>
      <c r="V40" s="8">
        <v>0</v>
      </c>
      <c r="W40" s="1"/>
      <c r="X40" s="1"/>
      <c r="Y40" s="1"/>
      <c r="Z40" s="1"/>
      <c r="AA40" s="1"/>
      <c r="AB40" s="1"/>
      <c r="AC40" s="1"/>
      <c r="AD40" s="1"/>
      <c r="AE40" s="1"/>
      <c r="AF40" s="1"/>
    </row>
    <row r="41" spans="1:32" s="6" customFormat="1" x14ac:dyDescent="0.25">
      <c r="A41" s="6" t="s">
        <v>173</v>
      </c>
      <c r="B41" s="6" t="s">
        <v>174</v>
      </c>
      <c r="C41" s="93" t="s">
        <v>4</v>
      </c>
      <c r="D41" s="7">
        <v>40</v>
      </c>
      <c r="E41" s="8">
        <v>0</v>
      </c>
      <c r="F41" s="8">
        <v>0</v>
      </c>
      <c r="G41" s="8">
        <v>0</v>
      </c>
      <c r="H41" s="8">
        <v>0</v>
      </c>
      <c r="I41" s="8">
        <v>0</v>
      </c>
      <c r="J41" s="8">
        <v>0</v>
      </c>
      <c r="K41" s="8">
        <v>0</v>
      </c>
      <c r="L41" s="8">
        <v>0</v>
      </c>
      <c r="M41" s="8">
        <v>0</v>
      </c>
      <c r="N41" s="8">
        <v>0</v>
      </c>
      <c r="O41" s="8">
        <v>0</v>
      </c>
      <c r="P41" s="8">
        <v>0</v>
      </c>
      <c r="Q41" s="8">
        <v>0</v>
      </c>
      <c r="R41" s="8">
        <v>0</v>
      </c>
      <c r="S41" s="8">
        <v>0</v>
      </c>
      <c r="T41" s="8">
        <v>0</v>
      </c>
      <c r="U41" s="8">
        <v>0</v>
      </c>
      <c r="V41" s="8">
        <v>0</v>
      </c>
      <c r="W41" s="1"/>
      <c r="X41" s="1"/>
      <c r="Y41" s="1"/>
      <c r="Z41" s="1"/>
      <c r="AA41" s="1"/>
      <c r="AB41" s="1"/>
      <c r="AC41" s="1"/>
      <c r="AD41" s="1"/>
      <c r="AE41" s="1"/>
      <c r="AF41" s="1"/>
    </row>
    <row r="42" spans="1:32" s="6" customFormat="1" x14ac:dyDescent="0.25">
      <c r="A42" s="6" t="s">
        <v>173</v>
      </c>
      <c r="B42" s="6" t="s">
        <v>175</v>
      </c>
      <c r="C42" s="93" t="s">
        <v>4</v>
      </c>
      <c r="D42" s="7">
        <v>41</v>
      </c>
      <c r="E42" s="8">
        <v>0</v>
      </c>
      <c r="F42" s="8">
        <v>0</v>
      </c>
      <c r="G42" s="8">
        <v>0</v>
      </c>
      <c r="H42" s="8">
        <v>0</v>
      </c>
      <c r="I42" s="8">
        <v>0</v>
      </c>
      <c r="J42" s="8">
        <v>0</v>
      </c>
      <c r="K42" s="8">
        <v>0</v>
      </c>
      <c r="L42" s="8">
        <v>0</v>
      </c>
      <c r="M42" s="8">
        <v>0</v>
      </c>
      <c r="N42" s="8">
        <v>0</v>
      </c>
      <c r="O42" s="8">
        <v>0</v>
      </c>
      <c r="P42" s="8">
        <v>0</v>
      </c>
      <c r="Q42" s="8">
        <v>0</v>
      </c>
      <c r="R42" s="8">
        <v>0</v>
      </c>
      <c r="S42" s="8">
        <v>0</v>
      </c>
      <c r="T42" s="8">
        <v>0</v>
      </c>
      <c r="U42" s="8">
        <v>0</v>
      </c>
      <c r="V42" s="8">
        <v>0</v>
      </c>
      <c r="W42" s="1"/>
      <c r="X42" s="1"/>
      <c r="Y42" s="1"/>
      <c r="Z42" s="1"/>
      <c r="AA42" s="1"/>
      <c r="AB42" s="1"/>
      <c r="AC42" s="1"/>
      <c r="AD42" s="1"/>
      <c r="AE42" s="1"/>
      <c r="AF42" s="1"/>
    </row>
    <row r="43" spans="1:32" s="6" customFormat="1" x14ac:dyDescent="0.25">
      <c r="A43" s="6" t="s">
        <v>173</v>
      </c>
      <c r="B43" s="6" t="s">
        <v>176</v>
      </c>
      <c r="C43" s="93" t="s">
        <v>4</v>
      </c>
      <c r="D43" s="7">
        <v>42</v>
      </c>
      <c r="E43" s="8">
        <v>0</v>
      </c>
      <c r="F43" s="8">
        <v>0</v>
      </c>
      <c r="G43" s="8">
        <v>0</v>
      </c>
      <c r="H43" s="8">
        <v>0</v>
      </c>
      <c r="I43" s="8">
        <v>0</v>
      </c>
      <c r="J43" s="8">
        <v>0</v>
      </c>
      <c r="K43" s="8">
        <v>0</v>
      </c>
      <c r="L43" s="8">
        <v>0</v>
      </c>
      <c r="M43" s="8">
        <v>0</v>
      </c>
      <c r="N43" s="8">
        <v>0</v>
      </c>
      <c r="O43" s="8">
        <v>0</v>
      </c>
      <c r="P43" s="8">
        <v>0</v>
      </c>
      <c r="Q43" s="8">
        <v>0</v>
      </c>
      <c r="R43" s="8">
        <v>0</v>
      </c>
      <c r="S43" s="8">
        <v>0</v>
      </c>
      <c r="T43" s="8">
        <v>0</v>
      </c>
      <c r="U43" s="8">
        <v>0</v>
      </c>
      <c r="V43" s="8">
        <v>0</v>
      </c>
      <c r="W43" s="1"/>
      <c r="X43" s="1"/>
      <c r="Y43" s="1"/>
      <c r="Z43" s="1"/>
      <c r="AA43" s="1"/>
      <c r="AB43" s="1"/>
      <c r="AC43" s="1"/>
      <c r="AD43" s="1"/>
      <c r="AE43" s="1"/>
      <c r="AF43" s="1"/>
    </row>
    <row r="44" spans="1:32" s="6" customFormat="1" x14ac:dyDescent="0.25">
      <c r="A44" s="6" t="s">
        <v>173</v>
      </c>
      <c r="B44" s="6" t="s">
        <v>177</v>
      </c>
      <c r="C44" s="93" t="s">
        <v>4</v>
      </c>
      <c r="D44" s="7">
        <v>43</v>
      </c>
      <c r="E44" s="8">
        <v>0</v>
      </c>
      <c r="F44" s="8">
        <v>0</v>
      </c>
      <c r="G44" s="8">
        <v>0</v>
      </c>
      <c r="H44" s="8">
        <v>0</v>
      </c>
      <c r="I44" s="8">
        <v>0</v>
      </c>
      <c r="J44" s="8">
        <v>0</v>
      </c>
      <c r="K44" s="8">
        <v>0</v>
      </c>
      <c r="L44" s="8">
        <v>0</v>
      </c>
      <c r="M44" s="8">
        <v>0</v>
      </c>
      <c r="N44" s="8">
        <v>0</v>
      </c>
      <c r="O44" s="8">
        <v>0</v>
      </c>
      <c r="P44" s="8">
        <v>0</v>
      </c>
      <c r="Q44" s="8">
        <v>0</v>
      </c>
      <c r="R44" s="8">
        <v>0</v>
      </c>
      <c r="S44" s="8">
        <v>0</v>
      </c>
      <c r="T44" s="8">
        <v>0</v>
      </c>
      <c r="U44" s="8">
        <v>0</v>
      </c>
      <c r="V44" s="8">
        <v>0</v>
      </c>
      <c r="W44" s="1"/>
      <c r="X44" s="1"/>
      <c r="Y44" s="1"/>
      <c r="Z44" s="1"/>
      <c r="AA44" s="1"/>
      <c r="AB44" s="1"/>
      <c r="AC44" s="1"/>
      <c r="AD44" s="1"/>
      <c r="AE44" s="1"/>
      <c r="AF44" s="1"/>
    </row>
    <row r="45" spans="1:32" s="6" customFormat="1" x14ac:dyDescent="0.25">
      <c r="A45" s="6" t="s">
        <v>173</v>
      </c>
      <c r="B45" s="6" t="s">
        <v>178</v>
      </c>
      <c r="C45" s="93" t="s">
        <v>4</v>
      </c>
      <c r="D45" s="7">
        <v>44</v>
      </c>
      <c r="E45" s="8">
        <v>0</v>
      </c>
      <c r="F45" s="8">
        <v>0</v>
      </c>
      <c r="G45" s="8">
        <v>0</v>
      </c>
      <c r="H45" s="8">
        <v>0</v>
      </c>
      <c r="I45" s="8">
        <v>0</v>
      </c>
      <c r="J45" s="8">
        <v>0</v>
      </c>
      <c r="K45" s="8">
        <v>0</v>
      </c>
      <c r="L45" s="8">
        <v>0</v>
      </c>
      <c r="M45" s="8">
        <v>0</v>
      </c>
      <c r="N45" s="8">
        <v>0</v>
      </c>
      <c r="O45" s="8">
        <v>0</v>
      </c>
      <c r="P45" s="8">
        <v>0</v>
      </c>
      <c r="Q45" s="8">
        <v>0</v>
      </c>
      <c r="R45" s="8">
        <v>0</v>
      </c>
      <c r="S45" s="8">
        <v>0</v>
      </c>
      <c r="T45" s="8">
        <v>0</v>
      </c>
      <c r="U45" s="8">
        <v>0</v>
      </c>
      <c r="V45" s="8">
        <v>0</v>
      </c>
      <c r="W45" s="1"/>
      <c r="X45" s="1"/>
      <c r="Y45" s="1"/>
      <c r="Z45" s="1"/>
      <c r="AA45" s="1"/>
      <c r="AB45" s="1"/>
      <c r="AC45" s="1"/>
      <c r="AD45" s="1"/>
      <c r="AE45" s="1"/>
      <c r="AF45" s="1"/>
    </row>
    <row r="46" spans="1:32" s="6" customFormat="1" x14ac:dyDescent="0.25">
      <c r="A46" s="6" t="s">
        <v>173</v>
      </c>
      <c r="B46" s="6" t="s">
        <v>179</v>
      </c>
      <c r="C46" s="93" t="s">
        <v>4</v>
      </c>
      <c r="D46" s="7">
        <v>45</v>
      </c>
      <c r="E46" s="8">
        <v>0</v>
      </c>
      <c r="F46" s="8">
        <v>0</v>
      </c>
      <c r="G46" s="8">
        <v>0</v>
      </c>
      <c r="H46" s="8">
        <v>0</v>
      </c>
      <c r="I46" s="8">
        <v>0</v>
      </c>
      <c r="J46" s="8">
        <v>0</v>
      </c>
      <c r="K46" s="8">
        <v>0</v>
      </c>
      <c r="L46" s="8">
        <v>0</v>
      </c>
      <c r="M46" s="8">
        <v>0</v>
      </c>
      <c r="N46" s="8">
        <v>0</v>
      </c>
      <c r="O46" s="8">
        <v>0</v>
      </c>
      <c r="P46" s="8">
        <v>0</v>
      </c>
      <c r="Q46" s="8">
        <v>0</v>
      </c>
      <c r="R46" s="8">
        <v>0</v>
      </c>
      <c r="S46" s="8">
        <v>0</v>
      </c>
      <c r="T46" s="8">
        <v>0</v>
      </c>
      <c r="U46" s="8">
        <v>0</v>
      </c>
      <c r="V46" s="8">
        <v>0</v>
      </c>
      <c r="W46" s="1"/>
      <c r="X46" s="1"/>
      <c r="Y46" s="1"/>
      <c r="Z46" s="1"/>
      <c r="AA46" s="1"/>
      <c r="AB46" s="1"/>
      <c r="AC46" s="1"/>
      <c r="AD46" s="1"/>
      <c r="AE46" s="1"/>
      <c r="AF46" s="1"/>
    </row>
    <row r="47" spans="1:32" s="6" customFormat="1" x14ac:dyDescent="0.25">
      <c r="A47" s="6" t="s">
        <v>173</v>
      </c>
      <c r="B47" s="6" t="s">
        <v>180</v>
      </c>
      <c r="C47" s="93" t="s">
        <v>4</v>
      </c>
      <c r="D47" s="7">
        <v>46</v>
      </c>
      <c r="E47" s="8">
        <v>0</v>
      </c>
      <c r="F47" s="8">
        <v>0</v>
      </c>
      <c r="G47" s="8">
        <v>0</v>
      </c>
      <c r="H47" s="8">
        <v>0</v>
      </c>
      <c r="I47" s="8">
        <v>0</v>
      </c>
      <c r="J47" s="8">
        <v>0</v>
      </c>
      <c r="K47" s="8">
        <v>0</v>
      </c>
      <c r="L47" s="8">
        <v>0</v>
      </c>
      <c r="M47" s="8">
        <v>0</v>
      </c>
      <c r="N47" s="8">
        <v>0</v>
      </c>
      <c r="O47" s="8">
        <v>0</v>
      </c>
      <c r="P47" s="8">
        <v>0</v>
      </c>
      <c r="Q47" s="8">
        <v>0</v>
      </c>
      <c r="R47" s="8">
        <v>0</v>
      </c>
      <c r="S47" s="8">
        <v>0</v>
      </c>
      <c r="T47" s="8">
        <v>0</v>
      </c>
      <c r="U47" s="8">
        <v>0</v>
      </c>
      <c r="V47" s="8">
        <v>0</v>
      </c>
      <c r="W47" s="1"/>
      <c r="X47" s="1"/>
      <c r="Y47" s="1"/>
      <c r="Z47" s="1"/>
      <c r="AA47" s="1"/>
      <c r="AB47" s="1"/>
      <c r="AC47" s="1"/>
      <c r="AD47" s="1"/>
      <c r="AE47" s="1"/>
      <c r="AF47" s="1"/>
    </row>
    <row r="48" spans="1:32" s="6" customFormat="1" x14ac:dyDescent="0.25">
      <c r="A48" s="6" t="s">
        <v>173</v>
      </c>
      <c r="B48" s="6" t="s">
        <v>181</v>
      </c>
      <c r="C48" s="93" t="s">
        <v>4</v>
      </c>
      <c r="D48" s="7">
        <v>47</v>
      </c>
      <c r="E48" s="8">
        <v>0</v>
      </c>
      <c r="F48" s="8">
        <v>0</v>
      </c>
      <c r="G48" s="8">
        <v>0</v>
      </c>
      <c r="H48" s="8">
        <v>0</v>
      </c>
      <c r="I48" s="8">
        <v>0</v>
      </c>
      <c r="J48" s="8">
        <v>0</v>
      </c>
      <c r="K48" s="8">
        <v>0</v>
      </c>
      <c r="L48" s="8">
        <v>0</v>
      </c>
      <c r="M48" s="8">
        <v>0</v>
      </c>
      <c r="N48" s="8">
        <v>0</v>
      </c>
      <c r="O48" s="8">
        <v>0</v>
      </c>
      <c r="P48" s="8">
        <v>0</v>
      </c>
      <c r="Q48" s="8">
        <v>0</v>
      </c>
      <c r="R48" s="8">
        <v>0</v>
      </c>
      <c r="S48" s="8">
        <v>0</v>
      </c>
      <c r="T48" s="8">
        <v>0</v>
      </c>
      <c r="U48" s="8">
        <v>0</v>
      </c>
      <c r="V48" s="8">
        <v>0</v>
      </c>
      <c r="W48" s="1"/>
      <c r="X48" s="1"/>
      <c r="Y48" s="1"/>
      <c r="Z48" s="1"/>
      <c r="AA48" s="1"/>
      <c r="AB48" s="1"/>
      <c r="AC48" s="1"/>
      <c r="AD48" s="1"/>
      <c r="AE48" s="1"/>
      <c r="AF48" s="1"/>
    </row>
    <row r="49" spans="1:32" s="6" customFormat="1" x14ac:dyDescent="0.25">
      <c r="A49" s="6" t="s">
        <v>173</v>
      </c>
      <c r="B49" s="6" t="s">
        <v>182</v>
      </c>
      <c r="C49" s="93" t="s">
        <v>4</v>
      </c>
      <c r="D49" s="7">
        <v>48</v>
      </c>
      <c r="E49" s="8">
        <v>0</v>
      </c>
      <c r="F49" s="8">
        <v>0</v>
      </c>
      <c r="G49" s="8">
        <v>0</v>
      </c>
      <c r="H49" s="8">
        <v>0</v>
      </c>
      <c r="I49" s="8">
        <v>0</v>
      </c>
      <c r="J49" s="8">
        <v>0</v>
      </c>
      <c r="K49" s="8">
        <v>0</v>
      </c>
      <c r="L49" s="8">
        <v>0</v>
      </c>
      <c r="M49" s="8">
        <v>0</v>
      </c>
      <c r="N49" s="8">
        <v>0</v>
      </c>
      <c r="O49" s="8">
        <v>0</v>
      </c>
      <c r="P49" s="8">
        <v>0</v>
      </c>
      <c r="Q49" s="8">
        <v>0</v>
      </c>
      <c r="R49" s="8">
        <v>0</v>
      </c>
      <c r="S49" s="8">
        <v>0</v>
      </c>
      <c r="T49" s="8">
        <v>0</v>
      </c>
      <c r="U49" s="8">
        <v>0</v>
      </c>
      <c r="V49" s="8">
        <v>0</v>
      </c>
      <c r="W49" s="1"/>
      <c r="X49" s="1"/>
      <c r="Y49" s="1"/>
      <c r="Z49" s="1"/>
      <c r="AA49" s="1"/>
      <c r="AB49" s="1"/>
      <c r="AC49" s="1"/>
      <c r="AD49" s="1"/>
      <c r="AE49" s="1"/>
      <c r="AF49" s="1"/>
    </row>
    <row r="50" spans="1:32" s="6" customFormat="1" x14ac:dyDescent="0.25">
      <c r="A50" s="6" t="s">
        <v>173</v>
      </c>
      <c r="B50" s="6" t="s">
        <v>183</v>
      </c>
      <c r="C50" s="93" t="s">
        <v>4</v>
      </c>
      <c r="D50" s="7">
        <v>49</v>
      </c>
      <c r="E50" s="8">
        <v>0</v>
      </c>
      <c r="F50" s="8">
        <v>0</v>
      </c>
      <c r="G50" s="8">
        <v>0</v>
      </c>
      <c r="H50" s="8">
        <v>0</v>
      </c>
      <c r="I50" s="8">
        <v>0</v>
      </c>
      <c r="J50" s="8">
        <v>0</v>
      </c>
      <c r="K50" s="8">
        <v>0</v>
      </c>
      <c r="L50" s="8">
        <v>0</v>
      </c>
      <c r="M50" s="8">
        <v>0</v>
      </c>
      <c r="N50" s="8">
        <v>0</v>
      </c>
      <c r="O50" s="8">
        <v>0</v>
      </c>
      <c r="P50" s="8">
        <v>0</v>
      </c>
      <c r="Q50" s="8">
        <v>0</v>
      </c>
      <c r="R50" s="8">
        <v>0</v>
      </c>
      <c r="S50" s="8">
        <v>0</v>
      </c>
      <c r="T50" s="8">
        <v>0</v>
      </c>
      <c r="U50" s="8">
        <v>0</v>
      </c>
      <c r="V50" s="8">
        <v>0</v>
      </c>
      <c r="W50" s="1"/>
      <c r="X50" s="1"/>
      <c r="Y50" s="1"/>
      <c r="Z50" s="1"/>
      <c r="AA50" s="1"/>
      <c r="AB50" s="1"/>
      <c r="AC50" s="1"/>
      <c r="AD50" s="1"/>
      <c r="AE50" s="1"/>
      <c r="AF50" s="1"/>
    </row>
    <row r="51" spans="1:32" s="6" customFormat="1" x14ac:dyDescent="0.25">
      <c r="A51" s="6" t="s">
        <v>173</v>
      </c>
      <c r="B51" s="6" t="s">
        <v>184</v>
      </c>
      <c r="C51" s="93" t="s">
        <v>4</v>
      </c>
      <c r="D51" s="7">
        <v>50</v>
      </c>
      <c r="E51" s="8">
        <v>0</v>
      </c>
      <c r="F51" s="8">
        <v>0</v>
      </c>
      <c r="G51" s="8">
        <v>0</v>
      </c>
      <c r="H51" s="8">
        <v>0</v>
      </c>
      <c r="I51" s="8">
        <v>0</v>
      </c>
      <c r="J51" s="8">
        <v>0</v>
      </c>
      <c r="K51" s="8">
        <v>0</v>
      </c>
      <c r="L51" s="8">
        <v>0</v>
      </c>
      <c r="M51" s="8">
        <v>0</v>
      </c>
      <c r="N51" s="8">
        <v>0</v>
      </c>
      <c r="O51" s="8">
        <v>0</v>
      </c>
      <c r="P51" s="8">
        <v>0</v>
      </c>
      <c r="Q51" s="8">
        <v>0</v>
      </c>
      <c r="R51" s="8">
        <v>0</v>
      </c>
      <c r="S51" s="8">
        <v>0</v>
      </c>
      <c r="T51" s="8">
        <v>0</v>
      </c>
      <c r="U51" s="8">
        <v>0</v>
      </c>
      <c r="V51" s="8">
        <v>0</v>
      </c>
      <c r="W51" s="1"/>
      <c r="X51" s="1"/>
      <c r="Y51" s="1"/>
      <c r="Z51" s="1"/>
      <c r="AA51" s="1"/>
      <c r="AB51" s="1"/>
      <c r="AC51" s="1"/>
      <c r="AD51" s="1"/>
      <c r="AE51" s="1"/>
      <c r="AF51" s="1"/>
    </row>
    <row r="52" spans="1:32" s="6" customFormat="1" x14ac:dyDescent="0.25">
      <c r="A52" s="6" t="s">
        <v>173</v>
      </c>
      <c r="B52" s="6" t="s">
        <v>185</v>
      </c>
      <c r="C52" s="93" t="s">
        <v>4</v>
      </c>
      <c r="D52" s="7">
        <v>51</v>
      </c>
      <c r="E52" s="8">
        <v>0</v>
      </c>
      <c r="F52" s="8">
        <v>0</v>
      </c>
      <c r="G52" s="8">
        <v>0</v>
      </c>
      <c r="H52" s="8">
        <v>0</v>
      </c>
      <c r="I52" s="8">
        <v>0</v>
      </c>
      <c r="J52" s="8">
        <v>0</v>
      </c>
      <c r="K52" s="8">
        <v>0</v>
      </c>
      <c r="L52" s="8">
        <v>0</v>
      </c>
      <c r="M52" s="8">
        <v>0</v>
      </c>
      <c r="N52" s="8">
        <v>0</v>
      </c>
      <c r="O52" s="8">
        <v>0</v>
      </c>
      <c r="P52" s="8">
        <v>0</v>
      </c>
      <c r="Q52" s="8">
        <v>0</v>
      </c>
      <c r="R52" s="8">
        <v>0</v>
      </c>
      <c r="S52" s="8">
        <v>0</v>
      </c>
      <c r="T52" s="8">
        <v>0</v>
      </c>
      <c r="U52" s="8">
        <v>0</v>
      </c>
      <c r="V52" s="8">
        <v>0</v>
      </c>
      <c r="W52" s="1"/>
      <c r="X52" s="1"/>
      <c r="Y52" s="1"/>
      <c r="Z52" s="1"/>
      <c r="AA52" s="1"/>
      <c r="AB52" s="1"/>
      <c r="AC52" s="1"/>
      <c r="AD52" s="1"/>
      <c r="AE52" s="1"/>
      <c r="AF52" s="1"/>
    </row>
    <row r="53" spans="1:32" s="6" customFormat="1" x14ac:dyDescent="0.25">
      <c r="A53" s="6" t="s">
        <v>173</v>
      </c>
      <c r="B53" s="6" t="s">
        <v>186</v>
      </c>
      <c r="C53" s="93" t="s">
        <v>4</v>
      </c>
      <c r="D53" s="7">
        <v>52</v>
      </c>
      <c r="E53" s="8">
        <v>0</v>
      </c>
      <c r="F53" s="8">
        <v>0</v>
      </c>
      <c r="G53" s="8">
        <v>0</v>
      </c>
      <c r="H53" s="8">
        <v>0</v>
      </c>
      <c r="I53" s="8">
        <v>0</v>
      </c>
      <c r="J53" s="8">
        <v>0</v>
      </c>
      <c r="K53" s="8">
        <v>0</v>
      </c>
      <c r="L53" s="8">
        <v>0</v>
      </c>
      <c r="M53" s="8">
        <v>0</v>
      </c>
      <c r="N53" s="8">
        <v>0</v>
      </c>
      <c r="O53" s="8">
        <v>0</v>
      </c>
      <c r="P53" s="8">
        <v>0</v>
      </c>
      <c r="Q53" s="8">
        <v>0</v>
      </c>
      <c r="R53" s="8">
        <v>0</v>
      </c>
      <c r="S53" s="8">
        <v>0</v>
      </c>
      <c r="T53" s="8">
        <v>0</v>
      </c>
      <c r="U53" s="8">
        <v>0</v>
      </c>
      <c r="V53" s="8">
        <v>0</v>
      </c>
      <c r="W53" s="1"/>
      <c r="X53" s="1"/>
      <c r="Y53" s="1"/>
      <c r="Z53" s="1"/>
      <c r="AA53" s="1"/>
      <c r="AB53" s="1"/>
      <c r="AC53" s="1"/>
      <c r="AD53" s="1"/>
      <c r="AE53" s="1"/>
      <c r="AF53" s="1"/>
    </row>
    <row r="54" spans="1:32" s="6" customFormat="1" x14ac:dyDescent="0.25">
      <c r="A54" s="6" t="s">
        <v>173</v>
      </c>
      <c r="B54" s="6" t="s">
        <v>187</v>
      </c>
      <c r="C54" s="93" t="s">
        <v>4</v>
      </c>
      <c r="D54" s="7">
        <v>53</v>
      </c>
      <c r="E54" s="8">
        <v>0</v>
      </c>
      <c r="F54" s="8">
        <v>0</v>
      </c>
      <c r="G54" s="8">
        <v>0</v>
      </c>
      <c r="H54" s="8">
        <v>0</v>
      </c>
      <c r="I54" s="8">
        <v>0</v>
      </c>
      <c r="J54" s="8">
        <v>0</v>
      </c>
      <c r="K54" s="8">
        <v>0</v>
      </c>
      <c r="L54" s="8">
        <v>0</v>
      </c>
      <c r="M54" s="8">
        <v>0</v>
      </c>
      <c r="N54" s="8">
        <v>0</v>
      </c>
      <c r="O54" s="8">
        <v>0</v>
      </c>
      <c r="P54" s="8">
        <v>0</v>
      </c>
      <c r="Q54" s="8">
        <v>0</v>
      </c>
      <c r="R54" s="8">
        <v>0</v>
      </c>
      <c r="S54" s="8">
        <v>0</v>
      </c>
      <c r="T54" s="8">
        <v>0</v>
      </c>
      <c r="U54" s="8">
        <v>0</v>
      </c>
      <c r="V54" s="8">
        <v>0</v>
      </c>
      <c r="W54" s="1"/>
      <c r="X54" s="1"/>
      <c r="Y54" s="1"/>
      <c r="Z54" s="1"/>
      <c r="AA54" s="1"/>
      <c r="AB54" s="1"/>
      <c r="AC54" s="1"/>
      <c r="AD54" s="1"/>
      <c r="AE54" s="1"/>
      <c r="AF54" s="1"/>
    </row>
    <row r="55" spans="1:32" s="6" customFormat="1" x14ac:dyDescent="0.25">
      <c r="A55" s="6" t="s">
        <v>173</v>
      </c>
      <c r="B55" s="6" t="s">
        <v>188</v>
      </c>
      <c r="C55" s="93" t="s">
        <v>4</v>
      </c>
      <c r="D55" s="7">
        <v>54</v>
      </c>
      <c r="E55" s="8">
        <v>0</v>
      </c>
      <c r="F55" s="8">
        <v>0</v>
      </c>
      <c r="G55" s="8">
        <v>0</v>
      </c>
      <c r="H55" s="8">
        <v>0</v>
      </c>
      <c r="I55" s="8">
        <v>0</v>
      </c>
      <c r="J55" s="8">
        <v>0</v>
      </c>
      <c r="K55" s="8">
        <v>0</v>
      </c>
      <c r="L55" s="8">
        <v>0</v>
      </c>
      <c r="M55" s="8">
        <v>0</v>
      </c>
      <c r="N55" s="8">
        <v>0</v>
      </c>
      <c r="O55" s="8">
        <v>0</v>
      </c>
      <c r="P55" s="8">
        <v>0</v>
      </c>
      <c r="Q55" s="8">
        <v>0</v>
      </c>
      <c r="R55" s="8">
        <v>0</v>
      </c>
      <c r="S55" s="8">
        <v>0</v>
      </c>
      <c r="T55" s="8">
        <v>0</v>
      </c>
      <c r="U55" s="8">
        <v>0</v>
      </c>
      <c r="V55" s="8">
        <v>0</v>
      </c>
      <c r="W55" s="1"/>
      <c r="X55" s="1"/>
      <c r="Y55" s="1"/>
      <c r="Z55" s="1"/>
      <c r="AA55" s="1"/>
      <c r="AB55" s="1"/>
      <c r="AC55" s="1"/>
      <c r="AD55" s="1"/>
      <c r="AE55" s="1"/>
      <c r="AF55" s="1"/>
    </row>
    <row r="56" spans="1:32" s="6" customFormat="1" x14ac:dyDescent="0.25">
      <c r="A56" s="6" t="s">
        <v>173</v>
      </c>
      <c r="B56" s="6" t="s">
        <v>189</v>
      </c>
      <c r="C56" s="93" t="s">
        <v>4</v>
      </c>
      <c r="D56" s="7">
        <v>55</v>
      </c>
      <c r="E56" s="8">
        <v>0</v>
      </c>
      <c r="F56" s="8">
        <v>0</v>
      </c>
      <c r="G56" s="8">
        <v>0</v>
      </c>
      <c r="H56" s="8">
        <v>0</v>
      </c>
      <c r="I56" s="8">
        <v>0</v>
      </c>
      <c r="J56" s="8">
        <v>0</v>
      </c>
      <c r="K56" s="8">
        <v>0</v>
      </c>
      <c r="L56" s="8">
        <v>0</v>
      </c>
      <c r="M56" s="8">
        <v>0</v>
      </c>
      <c r="N56" s="8">
        <v>0</v>
      </c>
      <c r="O56" s="8">
        <v>0</v>
      </c>
      <c r="P56" s="8">
        <v>0</v>
      </c>
      <c r="Q56" s="8">
        <v>0</v>
      </c>
      <c r="R56" s="8">
        <v>0</v>
      </c>
      <c r="S56" s="8">
        <v>0</v>
      </c>
      <c r="T56" s="8">
        <v>0</v>
      </c>
      <c r="U56" s="8">
        <v>0</v>
      </c>
      <c r="V56" s="8">
        <v>0</v>
      </c>
      <c r="W56" s="1"/>
      <c r="X56" s="1"/>
      <c r="Y56" s="1"/>
      <c r="Z56" s="1"/>
      <c r="AA56" s="1"/>
      <c r="AB56" s="1"/>
      <c r="AC56" s="1"/>
      <c r="AD56" s="1"/>
      <c r="AE56" s="1"/>
      <c r="AF56" s="1"/>
    </row>
    <row r="57" spans="1:32" s="6" customFormat="1" x14ac:dyDescent="0.25">
      <c r="A57" s="6" t="s">
        <v>173</v>
      </c>
      <c r="B57" s="6" t="s">
        <v>190</v>
      </c>
      <c r="C57" s="93" t="s">
        <v>4</v>
      </c>
      <c r="D57" s="7">
        <v>56</v>
      </c>
      <c r="E57" s="8">
        <v>0</v>
      </c>
      <c r="F57" s="8">
        <v>0</v>
      </c>
      <c r="G57" s="8">
        <v>0</v>
      </c>
      <c r="H57" s="8">
        <v>0</v>
      </c>
      <c r="I57" s="8">
        <v>0</v>
      </c>
      <c r="J57" s="8">
        <v>0</v>
      </c>
      <c r="K57" s="8">
        <v>0</v>
      </c>
      <c r="L57" s="8">
        <v>0</v>
      </c>
      <c r="M57" s="8">
        <v>0</v>
      </c>
      <c r="N57" s="8">
        <v>0</v>
      </c>
      <c r="O57" s="8">
        <v>0</v>
      </c>
      <c r="P57" s="8">
        <v>0</v>
      </c>
      <c r="Q57" s="8">
        <v>0</v>
      </c>
      <c r="R57" s="8">
        <v>0</v>
      </c>
      <c r="S57" s="8">
        <v>0</v>
      </c>
      <c r="T57" s="8">
        <v>0</v>
      </c>
      <c r="U57" s="8">
        <v>0</v>
      </c>
      <c r="V57" s="8">
        <v>0</v>
      </c>
      <c r="W57" s="1"/>
      <c r="X57" s="1"/>
      <c r="Y57" s="1"/>
      <c r="Z57" s="1"/>
      <c r="AA57" s="1"/>
      <c r="AB57" s="1"/>
      <c r="AC57" s="1"/>
      <c r="AD57" s="1"/>
      <c r="AE57" s="1"/>
      <c r="AF57" s="1"/>
    </row>
    <row r="58" spans="1:32" s="6" customFormat="1" x14ac:dyDescent="0.25">
      <c r="A58" s="6" t="s">
        <v>173</v>
      </c>
      <c r="B58" s="6" t="s">
        <v>191</v>
      </c>
      <c r="C58" s="93" t="s">
        <v>4</v>
      </c>
      <c r="D58" s="7">
        <v>57</v>
      </c>
      <c r="E58" s="8">
        <v>0</v>
      </c>
      <c r="F58" s="8">
        <v>0</v>
      </c>
      <c r="G58" s="8">
        <v>0</v>
      </c>
      <c r="H58" s="8">
        <v>0</v>
      </c>
      <c r="I58" s="8">
        <v>0</v>
      </c>
      <c r="J58" s="8">
        <v>0</v>
      </c>
      <c r="K58" s="8">
        <v>0</v>
      </c>
      <c r="L58" s="8">
        <v>0</v>
      </c>
      <c r="M58" s="8">
        <v>0</v>
      </c>
      <c r="N58" s="8">
        <v>0</v>
      </c>
      <c r="O58" s="8">
        <v>0</v>
      </c>
      <c r="P58" s="8">
        <v>0</v>
      </c>
      <c r="Q58" s="8">
        <v>0</v>
      </c>
      <c r="R58" s="8">
        <v>0</v>
      </c>
      <c r="S58" s="8">
        <v>0</v>
      </c>
      <c r="T58" s="8">
        <v>0</v>
      </c>
      <c r="U58" s="8">
        <v>0</v>
      </c>
      <c r="V58" s="8">
        <v>0</v>
      </c>
      <c r="W58" s="1"/>
      <c r="X58" s="1"/>
      <c r="Y58" s="1"/>
      <c r="Z58" s="1"/>
      <c r="AA58" s="1"/>
      <c r="AB58" s="1"/>
      <c r="AC58" s="1"/>
      <c r="AD58" s="1"/>
      <c r="AE58" s="1"/>
      <c r="AF58" s="1"/>
    </row>
    <row r="59" spans="1:32" s="6" customFormat="1" x14ac:dyDescent="0.25">
      <c r="A59" s="6" t="s">
        <v>173</v>
      </c>
      <c r="B59" s="6" t="s">
        <v>192</v>
      </c>
      <c r="C59" s="93" t="s">
        <v>4</v>
      </c>
      <c r="D59" s="7">
        <v>58</v>
      </c>
      <c r="E59" s="8">
        <v>0</v>
      </c>
      <c r="F59" s="8">
        <v>0</v>
      </c>
      <c r="G59" s="8">
        <v>0</v>
      </c>
      <c r="H59" s="8">
        <v>0</v>
      </c>
      <c r="I59" s="8">
        <v>0</v>
      </c>
      <c r="J59" s="8">
        <v>0</v>
      </c>
      <c r="K59" s="8">
        <v>0</v>
      </c>
      <c r="L59" s="8">
        <v>0</v>
      </c>
      <c r="M59" s="8">
        <v>0</v>
      </c>
      <c r="N59" s="8">
        <v>0</v>
      </c>
      <c r="O59" s="8">
        <v>0</v>
      </c>
      <c r="P59" s="8">
        <v>0</v>
      </c>
      <c r="Q59" s="8">
        <v>0</v>
      </c>
      <c r="R59" s="8">
        <v>0</v>
      </c>
      <c r="S59" s="8">
        <v>0</v>
      </c>
      <c r="T59" s="8">
        <v>0</v>
      </c>
      <c r="U59" s="8">
        <v>0</v>
      </c>
      <c r="V59" s="8">
        <v>0</v>
      </c>
      <c r="W59" s="1"/>
      <c r="X59" s="1"/>
      <c r="Y59" s="1"/>
      <c r="Z59" s="1"/>
      <c r="AA59" s="1"/>
      <c r="AB59" s="1"/>
      <c r="AC59" s="1"/>
      <c r="AD59" s="1"/>
      <c r="AE59" s="1"/>
      <c r="AF59" s="1"/>
    </row>
    <row r="60" spans="1:32" s="6" customFormat="1" x14ac:dyDescent="0.25">
      <c r="A60" s="6" t="s">
        <v>173</v>
      </c>
      <c r="B60" s="6" t="s">
        <v>193</v>
      </c>
      <c r="C60" s="93" t="s">
        <v>4</v>
      </c>
      <c r="D60" s="7">
        <v>59</v>
      </c>
      <c r="E60" s="8">
        <v>0</v>
      </c>
      <c r="F60" s="8">
        <v>0</v>
      </c>
      <c r="G60" s="8">
        <v>0</v>
      </c>
      <c r="H60" s="8">
        <v>0</v>
      </c>
      <c r="I60" s="8">
        <v>0</v>
      </c>
      <c r="J60" s="8">
        <v>0</v>
      </c>
      <c r="K60" s="8">
        <v>0</v>
      </c>
      <c r="L60" s="8">
        <v>0</v>
      </c>
      <c r="M60" s="8">
        <v>0</v>
      </c>
      <c r="N60" s="8">
        <v>0</v>
      </c>
      <c r="O60" s="8">
        <v>0</v>
      </c>
      <c r="P60" s="8">
        <v>0</v>
      </c>
      <c r="Q60" s="8">
        <v>0</v>
      </c>
      <c r="R60" s="8">
        <v>0</v>
      </c>
      <c r="S60" s="8">
        <v>0</v>
      </c>
      <c r="T60" s="8">
        <v>0</v>
      </c>
      <c r="U60" s="8">
        <v>0</v>
      </c>
      <c r="V60" s="8">
        <v>0</v>
      </c>
      <c r="W60" s="1"/>
      <c r="X60" s="1"/>
      <c r="Y60" s="1"/>
      <c r="Z60" s="1"/>
      <c r="AA60" s="1"/>
      <c r="AB60" s="1"/>
      <c r="AC60" s="1"/>
      <c r="AD60" s="1"/>
      <c r="AE60" s="1"/>
      <c r="AF60" s="1"/>
    </row>
    <row r="61" spans="1:32" s="6" customFormat="1" x14ac:dyDescent="0.25">
      <c r="A61" s="6" t="s">
        <v>173</v>
      </c>
      <c r="B61" s="6" t="s">
        <v>194</v>
      </c>
      <c r="C61" s="93" t="s">
        <v>4</v>
      </c>
      <c r="D61" s="7">
        <v>60</v>
      </c>
      <c r="E61" s="8">
        <v>0</v>
      </c>
      <c r="F61" s="8">
        <v>0</v>
      </c>
      <c r="G61" s="8">
        <v>0</v>
      </c>
      <c r="H61" s="8">
        <v>0</v>
      </c>
      <c r="I61" s="8">
        <v>0</v>
      </c>
      <c r="J61" s="8">
        <v>0</v>
      </c>
      <c r="K61" s="8">
        <v>0</v>
      </c>
      <c r="L61" s="8">
        <v>0</v>
      </c>
      <c r="M61" s="8">
        <v>0</v>
      </c>
      <c r="N61" s="8">
        <v>0</v>
      </c>
      <c r="O61" s="8">
        <v>0</v>
      </c>
      <c r="P61" s="8">
        <v>0</v>
      </c>
      <c r="Q61" s="8">
        <v>0</v>
      </c>
      <c r="R61" s="8">
        <v>0</v>
      </c>
      <c r="S61" s="8">
        <v>0</v>
      </c>
      <c r="T61" s="8">
        <v>0</v>
      </c>
      <c r="U61" s="8">
        <v>0</v>
      </c>
      <c r="V61" s="8">
        <v>0</v>
      </c>
      <c r="W61" s="1"/>
      <c r="X61" s="1"/>
      <c r="Y61" s="1"/>
      <c r="Z61" s="1"/>
      <c r="AA61" s="1"/>
      <c r="AB61" s="1"/>
      <c r="AC61" s="1"/>
      <c r="AD61" s="1"/>
      <c r="AE61" s="1"/>
      <c r="AF61" s="1"/>
    </row>
    <row r="62" spans="1:32" s="6" customFormat="1" x14ac:dyDescent="0.25">
      <c r="A62" s="6" t="s">
        <v>173</v>
      </c>
      <c r="B62" s="6" t="s">
        <v>195</v>
      </c>
      <c r="C62" s="93" t="s">
        <v>4</v>
      </c>
      <c r="D62" s="7">
        <v>61</v>
      </c>
      <c r="E62" s="8">
        <v>0</v>
      </c>
      <c r="F62" s="8">
        <v>0</v>
      </c>
      <c r="G62" s="8">
        <v>0</v>
      </c>
      <c r="H62" s="8">
        <v>0</v>
      </c>
      <c r="I62" s="8">
        <v>0</v>
      </c>
      <c r="J62" s="8">
        <v>0</v>
      </c>
      <c r="K62" s="8">
        <v>0</v>
      </c>
      <c r="L62" s="8">
        <v>0</v>
      </c>
      <c r="M62" s="8">
        <v>0</v>
      </c>
      <c r="N62" s="8">
        <v>0</v>
      </c>
      <c r="O62" s="8">
        <v>0</v>
      </c>
      <c r="P62" s="8">
        <v>0</v>
      </c>
      <c r="Q62" s="8">
        <v>0</v>
      </c>
      <c r="R62" s="8">
        <v>0</v>
      </c>
      <c r="S62" s="8">
        <v>0</v>
      </c>
      <c r="T62" s="8">
        <v>0</v>
      </c>
      <c r="U62" s="8">
        <v>0</v>
      </c>
      <c r="V62" s="8">
        <v>0</v>
      </c>
      <c r="W62" s="1"/>
      <c r="X62" s="1"/>
      <c r="Y62" s="1"/>
      <c r="Z62" s="1"/>
      <c r="AA62" s="1"/>
      <c r="AB62" s="1"/>
      <c r="AC62" s="1"/>
      <c r="AD62" s="1"/>
      <c r="AE62" s="1"/>
      <c r="AF62" s="1"/>
    </row>
    <row r="63" spans="1:32" s="6" customFormat="1" x14ac:dyDescent="0.25">
      <c r="A63" s="6" t="s">
        <v>196</v>
      </c>
      <c r="B63" s="6" t="s">
        <v>197</v>
      </c>
      <c r="C63" s="93" t="s">
        <v>4</v>
      </c>
      <c r="D63" s="7">
        <v>62</v>
      </c>
      <c r="E63" s="8">
        <v>0</v>
      </c>
      <c r="F63" s="8">
        <v>0</v>
      </c>
      <c r="G63" s="8">
        <v>0</v>
      </c>
      <c r="H63" s="8">
        <v>0</v>
      </c>
      <c r="I63" s="8">
        <v>0</v>
      </c>
      <c r="J63" s="8">
        <v>0</v>
      </c>
      <c r="K63" s="8">
        <v>0</v>
      </c>
      <c r="L63" s="8">
        <v>0</v>
      </c>
      <c r="M63" s="8">
        <v>0</v>
      </c>
      <c r="N63" s="8">
        <v>0</v>
      </c>
      <c r="O63" s="8">
        <v>0</v>
      </c>
      <c r="P63" s="8">
        <v>0</v>
      </c>
      <c r="Q63" s="8">
        <v>0</v>
      </c>
      <c r="R63" s="8">
        <v>0</v>
      </c>
      <c r="S63" s="8">
        <v>0</v>
      </c>
      <c r="T63" s="8">
        <v>0</v>
      </c>
      <c r="U63" s="8">
        <v>0</v>
      </c>
      <c r="V63" s="8">
        <v>0</v>
      </c>
      <c r="W63" s="1"/>
      <c r="X63" s="1"/>
      <c r="Y63" s="1"/>
      <c r="Z63" s="1"/>
      <c r="AA63" s="1"/>
      <c r="AB63" s="1"/>
      <c r="AC63" s="1"/>
      <c r="AD63" s="1"/>
      <c r="AE63" s="1"/>
      <c r="AF63" s="1"/>
    </row>
    <row r="64" spans="1:32" s="6" customFormat="1" x14ac:dyDescent="0.25">
      <c r="A64" s="6" t="s">
        <v>196</v>
      </c>
      <c r="B64" s="6" t="s">
        <v>198</v>
      </c>
      <c r="C64" s="93" t="s">
        <v>4</v>
      </c>
      <c r="D64" s="7">
        <v>63</v>
      </c>
      <c r="E64" s="8">
        <v>0</v>
      </c>
      <c r="F64" s="8">
        <v>0</v>
      </c>
      <c r="G64" s="8">
        <v>0</v>
      </c>
      <c r="H64" s="8">
        <v>0</v>
      </c>
      <c r="I64" s="8">
        <v>0</v>
      </c>
      <c r="J64" s="8">
        <v>0</v>
      </c>
      <c r="K64" s="8">
        <v>0</v>
      </c>
      <c r="L64" s="8">
        <v>0</v>
      </c>
      <c r="M64" s="8">
        <v>0</v>
      </c>
      <c r="N64" s="8">
        <v>0</v>
      </c>
      <c r="O64" s="8">
        <v>0</v>
      </c>
      <c r="P64" s="8">
        <v>0</v>
      </c>
      <c r="Q64" s="8">
        <v>0</v>
      </c>
      <c r="R64" s="8">
        <v>0</v>
      </c>
      <c r="S64" s="8">
        <v>0</v>
      </c>
      <c r="T64" s="8">
        <v>0</v>
      </c>
      <c r="U64" s="8">
        <v>0</v>
      </c>
      <c r="V64" s="8">
        <v>0</v>
      </c>
      <c r="W64" s="1"/>
      <c r="X64" s="1"/>
      <c r="Y64" s="1"/>
      <c r="Z64" s="1"/>
      <c r="AA64" s="1"/>
      <c r="AB64" s="1"/>
      <c r="AC64" s="1"/>
      <c r="AD64" s="1"/>
      <c r="AE64" s="1"/>
      <c r="AF64" s="1"/>
    </row>
    <row r="65" spans="1:32" s="6" customFormat="1" x14ac:dyDescent="0.25">
      <c r="A65" s="6" t="s">
        <v>196</v>
      </c>
      <c r="B65" s="6" t="s">
        <v>199</v>
      </c>
      <c r="C65" s="93" t="s">
        <v>4</v>
      </c>
      <c r="D65" s="7">
        <v>64</v>
      </c>
      <c r="E65" s="8">
        <v>0</v>
      </c>
      <c r="F65" s="8">
        <v>0</v>
      </c>
      <c r="G65" s="8">
        <v>0</v>
      </c>
      <c r="H65" s="8">
        <v>0</v>
      </c>
      <c r="I65" s="8">
        <v>0</v>
      </c>
      <c r="J65" s="8">
        <v>0</v>
      </c>
      <c r="K65" s="8">
        <v>0</v>
      </c>
      <c r="L65" s="8">
        <v>0</v>
      </c>
      <c r="M65" s="8">
        <v>0</v>
      </c>
      <c r="N65" s="8">
        <v>0</v>
      </c>
      <c r="O65" s="8">
        <v>0</v>
      </c>
      <c r="P65" s="8">
        <v>0</v>
      </c>
      <c r="Q65" s="8">
        <v>0</v>
      </c>
      <c r="R65" s="8">
        <v>0</v>
      </c>
      <c r="S65" s="8">
        <v>0</v>
      </c>
      <c r="T65" s="8">
        <v>0</v>
      </c>
      <c r="U65" s="8">
        <v>0</v>
      </c>
      <c r="V65" s="8">
        <v>0</v>
      </c>
      <c r="W65" s="1"/>
      <c r="X65" s="1"/>
      <c r="Y65" s="1"/>
      <c r="Z65" s="1"/>
      <c r="AA65" s="1"/>
      <c r="AB65" s="1"/>
      <c r="AC65" s="1"/>
      <c r="AD65" s="1"/>
      <c r="AE65" s="1"/>
      <c r="AF65" s="1"/>
    </row>
    <row r="66" spans="1:32" s="6" customFormat="1" x14ac:dyDescent="0.25">
      <c r="A66" s="6" t="s">
        <v>196</v>
      </c>
      <c r="B66" s="6" t="s">
        <v>200</v>
      </c>
      <c r="C66" s="93" t="s">
        <v>4</v>
      </c>
      <c r="D66" s="7">
        <v>65</v>
      </c>
      <c r="E66" s="8">
        <v>0</v>
      </c>
      <c r="F66" s="8">
        <v>0</v>
      </c>
      <c r="G66" s="8">
        <v>0</v>
      </c>
      <c r="H66" s="8">
        <v>0</v>
      </c>
      <c r="I66" s="8">
        <v>0</v>
      </c>
      <c r="J66" s="8">
        <v>0</v>
      </c>
      <c r="K66" s="8">
        <v>0</v>
      </c>
      <c r="L66" s="8">
        <v>0</v>
      </c>
      <c r="M66" s="8">
        <v>0</v>
      </c>
      <c r="N66" s="8">
        <v>0</v>
      </c>
      <c r="O66" s="8">
        <v>0</v>
      </c>
      <c r="P66" s="8">
        <v>0</v>
      </c>
      <c r="Q66" s="8">
        <v>0</v>
      </c>
      <c r="R66" s="8">
        <v>0</v>
      </c>
      <c r="S66" s="8">
        <v>0</v>
      </c>
      <c r="T66" s="8">
        <v>0</v>
      </c>
      <c r="U66" s="8">
        <v>0</v>
      </c>
      <c r="V66" s="8">
        <v>0</v>
      </c>
      <c r="W66" s="1"/>
      <c r="X66" s="1"/>
      <c r="Y66" s="1"/>
      <c r="Z66" s="1"/>
      <c r="AA66" s="1"/>
      <c r="AB66" s="1"/>
      <c r="AC66" s="1"/>
      <c r="AD66" s="1"/>
      <c r="AE66" s="1"/>
      <c r="AF66" s="1"/>
    </row>
    <row r="67" spans="1:32" s="6" customFormat="1" x14ac:dyDescent="0.25">
      <c r="A67" s="6" t="s">
        <v>196</v>
      </c>
      <c r="B67" s="6" t="s">
        <v>201</v>
      </c>
      <c r="C67" s="93" t="s">
        <v>4</v>
      </c>
      <c r="D67" s="7">
        <v>66</v>
      </c>
      <c r="E67" s="8">
        <v>0</v>
      </c>
      <c r="F67" s="8">
        <v>0</v>
      </c>
      <c r="G67" s="8">
        <v>0</v>
      </c>
      <c r="H67" s="8">
        <v>0</v>
      </c>
      <c r="I67" s="8">
        <v>0</v>
      </c>
      <c r="J67" s="8">
        <v>0</v>
      </c>
      <c r="K67" s="8">
        <v>0</v>
      </c>
      <c r="L67" s="8">
        <v>0</v>
      </c>
      <c r="M67" s="8">
        <v>0</v>
      </c>
      <c r="N67" s="8">
        <v>0</v>
      </c>
      <c r="O67" s="8">
        <v>0</v>
      </c>
      <c r="P67" s="8">
        <v>0</v>
      </c>
      <c r="Q67" s="8">
        <v>0</v>
      </c>
      <c r="R67" s="8">
        <v>0</v>
      </c>
      <c r="S67" s="8">
        <v>0</v>
      </c>
      <c r="T67" s="8">
        <v>0</v>
      </c>
      <c r="U67" s="8">
        <v>0</v>
      </c>
      <c r="V67" s="8">
        <v>0</v>
      </c>
      <c r="W67" s="1"/>
      <c r="X67" s="1"/>
      <c r="Y67" s="1"/>
      <c r="Z67" s="1"/>
      <c r="AA67" s="1"/>
      <c r="AB67" s="1"/>
      <c r="AC67" s="1"/>
      <c r="AD67" s="1"/>
      <c r="AE67" s="1"/>
      <c r="AF67" s="1"/>
    </row>
    <row r="68" spans="1:32" s="6" customFormat="1" x14ac:dyDescent="0.25">
      <c r="A68" s="6" t="s">
        <v>196</v>
      </c>
      <c r="B68" s="6" t="s">
        <v>202</v>
      </c>
      <c r="C68" s="93" t="s">
        <v>4</v>
      </c>
      <c r="D68" s="7">
        <v>67</v>
      </c>
      <c r="E68" s="8">
        <v>0</v>
      </c>
      <c r="F68" s="8">
        <v>0</v>
      </c>
      <c r="G68" s="8">
        <v>0</v>
      </c>
      <c r="H68" s="8">
        <v>0</v>
      </c>
      <c r="I68" s="8">
        <v>0</v>
      </c>
      <c r="J68" s="8">
        <v>0</v>
      </c>
      <c r="K68" s="8">
        <v>0</v>
      </c>
      <c r="L68" s="8">
        <v>0</v>
      </c>
      <c r="M68" s="8">
        <v>0</v>
      </c>
      <c r="N68" s="8">
        <v>0</v>
      </c>
      <c r="O68" s="8">
        <v>0</v>
      </c>
      <c r="P68" s="8">
        <v>0</v>
      </c>
      <c r="Q68" s="8">
        <v>0</v>
      </c>
      <c r="R68" s="8">
        <v>0</v>
      </c>
      <c r="S68" s="8">
        <v>0</v>
      </c>
      <c r="T68" s="8">
        <v>0</v>
      </c>
      <c r="U68" s="8">
        <v>0</v>
      </c>
      <c r="V68" s="8">
        <v>0</v>
      </c>
      <c r="W68" s="1"/>
      <c r="X68" s="1"/>
      <c r="Y68" s="1"/>
      <c r="Z68" s="1"/>
      <c r="AA68" s="1"/>
      <c r="AB68" s="1"/>
      <c r="AC68" s="1"/>
      <c r="AD68" s="1"/>
      <c r="AE68" s="1"/>
      <c r="AF68" s="1"/>
    </row>
    <row r="69" spans="1:32" s="6" customFormat="1" x14ac:dyDescent="0.25">
      <c r="A69" s="6" t="s">
        <v>196</v>
      </c>
      <c r="B69" s="6" t="s">
        <v>203</v>
      </c>
      <c r="C69" s="93" t="s">
        <v>4</v>
      </c>
      <c r="D69" s="7">
        <v>68</v>
      </c>
      <c r="E69" s="8">
        <v>0</v>
      </c>
      <c r="F69" s="8">
        <v>0</v>
      </c>
      <c r="G69" s="8">
        <v>0</v>
      </c>
      <c r="H69" s="8">
        <v>0</v>
      </c>
      <c r="I69" s="8">
        <v>0</v>
      </c>
      <c r="J69" s="8">
        <v>0</v>
      </c>
      <c r="K69" s="8">
        <v>0</v>
      </c>
      <c r="L69" s="8">
        <v>0</v>
      </c>
      <c r="M69" s="8">
        <v>0</v>
      </c>
      <c r="N69" s="8">
        <v>0</v>
      </c>
      <c r="O69" s="8">
        <v>0</v>
      </c>
      <c r="P69" s="8">
        <v>0</v>
      </c>
      <c r="Q69" s="8">
        <v>0</v>
      </c>
      <c r="R69" s="8">
        <v>0</v>
      </c>
      <c r="S69" s="8">
        <v>0</v>
      </c>
      <c r="T69" s="8">
        <v>0</v>
      </c>
      <c r="U69" s="8">
        <v>0</v>
      </c>
      <c r="V69" s="8">
        <v>0</v>
      </c>
      <c r="W69" s="1"/>
      <c r="X69" s="1"/>
      <c r="Y69" s="1"/>
      <c r="Z69" s="1"/>
      <c r="AA69" s="1"/>
      <c r="AB69" s="1"/>
      <c r="AC69" s="1"/>
      <c r="AD69" s="1"/>
      <c r="AE69" s="1"/>
      <c r="AF69" s="1"/>
    </row>
    <row r="70" spans="1:32" s="6" customFormat="1" x14ac:dyDescent="0.25">
      <c r="A70" s="6" t="s">
        <v>196</v>
      </c>
      <c r="B70" s="6" t="s">
        <v>204</v>
      </c>
      <c r="C70" s="93" t="s">
        <v>4</v>
      </c>
      <c r="D70" s="7">
        <v>69</v>
      </c>
      <c r="E70" s="8">
        <v>0</v>
      </c>
      <c r="F70" s="8">
        <v>0</v>
      </c>
      <c r="G70" s="8">
        <v>0</v>
      </c>
      <c r="H70" s="8">
        <v>0</v>
      </c>
      <c r="I70" s="8">
        <v>0</v>
      </c>
      <c r="J70" s="8">
        <v>0</v>
      </c>
      <c r="K70" s="8">
        <v>0</v>
      </c>
      <c r="L70" s="8">
        <v>0</v>
      </c>
      <c r="M70" s="8">
        <v>0</v>
      </c>
      <c r="N70" s="8">
        <v>0</v>
      </c>
      <c r="O70" s="8">
        <v>0</v>
      </c>
      <c r="P70" s="8">
        <v>0</v>
      </c>
      <c r="Q70" s="8">
        <v>0</v>
      </c>
      <c r="R70" s="8">
        <v>0</v>
      </c>
      <c r="S70" s="8">
        <v>0</v>
      </c>
      <c r="T70" s="8">
        <v>0</v>
      </c>
      <c r="U70" s="8">
        <v>0</v>
      </c>
      <c r="V70" s="8">
        <v>0</v>
      </c>
      <c r="W70" s="1"/>
      <c r="X70" s="1"/>
      <c r="Y70" s="1"/>
      <c r="Z70" s="1"/>
      <c r="AA70" s="1"/>
      <c r="AB70" s="1"/>
      <c r="AC70" s="1"/>
      <c r="AD70" s="1"/>
      <c r="AE70" s="1"/>
      <c r="AF70" s="1"/>
    </row>
    <row r="71" spans="1:32" s="6" customFormat="1" x14ac:dyDescent="0.25">
      <c r="A71" s="6" t="s">
        <v>196</v>
      </c>
      <c r="B71" s="6" t="s">
        <v>205</v>
      </c>
      <c r="C71" s="93" t="s">
        <v>4</v>
      </c>
      <c r="D71" s="7">
        <v>70</v>
      </c>
      <c r="E71" s="8">
        <v>0</v>
      </c>
      <c r="F71" s="8">
        <v>0</v>
      </c>
      <c r="G71" s="8">
        <v>0</v>
      </c>
      <c r="H71" s="8">
        <v>0</v>
      </c>
      <c r="I71" s="8">
        <v>0</v>
      </c>
      <c r="J71" s="8">
        <v>0</v>
      </c>
      <c r="K71" s="8">
        <v>0</v>
      </c>
      <c r="L71" s="8">
        <v>0</v>
      </c>
      <c r="M71" s="8">
        <v>0</v>
      </c>
      <c r="N71" s="8">
        <v>0</v>
      </c>
      <c r="O71" s="8">
        <v>0</v>
      </c>
      <c r="P71" s="8">
        <v>0</v>
      </c>
      <c r="Q71" s="8">
        <v>0</v>
      </c>
      <c r="R71" s="8">
        <v>0</v>
      </c>
      <c r="S71" s="8">
        <v>0</v>
      </c>
      <c r="T71" s="8">
        <v>0</v>
      </c>
      <c r="U71" s="8">
        <v>0</v>
      </c>
      <c r="V71" s="8">
        <v>0</v>
      </c>
      <c r="W71" s="1"/>
      <c r="X71" s="1"/>
      <c r="Y71" s="1"/>
      <c r="Z71" s="1"/>
      <c r="AA71" s="1"/>
      <c r="AB71" s="1"/>
      <c r="AC71" s="1"/>
      <c r="AD71" s="1"/>
      <c r="AE71" s="1"/>
      <c r="AF71" s="1"/>
    </row>
    <row r="72" spans="1:32" s="6" customFormat="1" x14ac:dyDescent="0.25">
      <c r="A72" s="6" t="s">
        <v>196</v>
      </c>
      <c r="B72" s="6" t="s">
        <v>206</v>
      </c>
      <c r="C72" s="93" t="s">
        <v>4</v>
      </c>
      <c r="D72" s="7">
        <v>71</v>
      </c>
      <c r="E72" s="8">
        <v>0</v>
      </c>
      <c r="F72" s="8">
        <v>0</v>
      </c>
      <c r="G72" s="8">
        <v>0</v>
      </c>
      <c r="H72" s="8">
        <v>0</v>
      </c>
      <c r="I72" s="8">
        <v>0</v>
      </c>
      <c r="J72" s="8">
        <v>0</v>
      </c>
      <c r="K72" s="8">
        <v>0</v>
      </c>
      <c r="L72" s="8">
        <v>0</v>
      </c>
      <c r="M72" s="8">
        <v>0</v>
      </c>
      <c r="N72" s="8">
        <v>0</v>
      </c>
      <c r="O72" s="8">
        <v>0</v>
      </c>
      <c r="P72" s="8">
        <v>0</v>
      </c>
      <c r="Q72" s="8">
        <v>0</v>
      </c>
      <c r="R72" s="8">
        <v>0</v>
      </c>
      <c r="S72" s="8">
        <v>0</v>
      </c>
      <c r="T72" s="8">
        <v>0</v>
      </c>
      <c r="U72" s="8">
        <v>0</v>
      </c>
      <c r="V72" s="8">
        <v>0</v>
      </c>
      <c r="W72" s="1"/>
      <c r="X72" s="1"/>
      <c r="Y72" s="1"/>
      <c r="Z72" s="1"/>
      <c r="AA72" s="1"/>
      <c r="AB72" s="1"/>
      <c r="AC72" s="1"/>
      <c r="AD72" s="1"/>
      <c r="AE72" s="1"/>
      <c r="AF72" s="1"/>
    </row>
    <row r="73" spans="1:32" s="6" customFormat="1" x14ac:dyDescent="0.25">
      <c r="A73" s="6" t="s">
        <v>196</v>
      </c>
      <c r="B73" s="6" t="s">
        <v>207</v>
      </c>
      <c r="C73" s="93" t="s">
        <v>4</v>
      </c>
      <c r="D73" s="7">
        <v>72</v>
      </c>
      <c r="E73" s="8">
        <v>0</v>
      </c>
      <c r="F73" s="8">
        <v>0</v>
      </c>
      <c r="G73" s="8">
        <v>0</v>
      </c>
      <c r="H73" s="8">
        <v>0</v>
      </c>
      <c r="I73" s="8">
        <v>0</v>
      </c>
      <c r="J73" s="8">
        <v>0</v>
      </c>
      <c r="K73" s="8">
        <v>0</v>
      </c>
      <c r="L73" s="8">
        <v>0</v>
      </c>
      <c r="M73" s="8">
        <v>0</v>
      </c>
      <c r="N73" s="8">
        <v>0</v>
      </c>
      <c r="O73" s="8">
        <v>0</v>
      </c>
      <c r="P73" s="8">
        <v>0</v>
      </c>
      <c r="Q73" s="8">
        <v>0</v>
      </c>
      <c r="R73" s="8">
        <v>0</v>
      </c>
      <c r="S73" s="8">
        <v>0</v>
      </c>
      <c r="T73" s="8">
        <v>0</v>
      </c>
      <c r="U73" s="8">
        <v>0</v>
      </c>
      <c r="V73" s="8">
        <v>0</v>
      </c>
      <c r="W73" s="1"/>
      <c r="X73" s="1"/>
      <c r="Y73" s="1"/>
      <c r="Z73" s="1"/>
      <c r="AA73" s="1"/>
      <c r="AB73" s="1"/>
      <c r="AC73" s="1"/>
      <c r="AD73" s="1"/>
      <c r="AE73" s="1"/>
      <c r="AF73" s="1"/>
    </row>
    <row r="74" spans="1:32" s="6" customFormat="1" x14ac:dyDescent="0.25">
      <c r="A74" s="6" t="s">
        <v>196</v>
      </c>
      <c r="B74" s="6" t="s">
        <v>208</v>
      </c>
      <c r="C74" s="93" t="s">
        <v>4</v>
      </c>
      <c r="D74" s="7">
        <v>73</v>
      </c>
      <c r="E74" s="8">
        <v>0</v>
      </c>
      <c r="F74" s="8">
        <v>0</v>
      </c>
      <c r="G74" s="8">
        <v>0</v>
      </c>
      <c r="H74" s="8">
        <v>0</v>
      </c>
      <c r="I74" s="8">
        <v>0</v>
      </c>
      <c r="J74" s="8">
        <v>0</v>
      </c>
      <c r="K74" s="8">
        <v>0</v>
      </c>
      <c r="L74" s="8">
        <v>0</v>
      </c>
      <c r="M74" s="8">
        <v>0</v>
      </c>
      <c r="N74" s="8">
        <v>0</v>
      </c>
      <c r="O74" s="8">
        <v>0</v>
      </c>
      <c r="P74" s="8">
        <v>0</v>
      </c>
      <c r="Q74" s="8">
        <v>0</v>
      </c>
      <c r="R74" s="8">
        <v>0</v>
      </c>
      <c r="S74" s="8">
        <v>0</v>
      </c>
      <c r="T74" s="8">
        <v>0</v>
      </c>
      <c r="U74" s="8">
        <v>0</v>
      </c>
      <c r="V74" s="8">
        <v>0</v>
      </c>
      <c r="W74" s="1"/>
      <c r="X74" s="1"/>
      <c r="Y74" s="1"/>
      <c r="Z74" s="1"/>
      <c r="AA74" s="1"/>
      <c r="AB74" s="1"/>
      <c r="AC74" s="1"/>
      <c r="AD74" s="1"/>
      <c r="AE74" s="1"/>
      <c r="AF74" s="1"/>
    </row>
    <row r="75" spans="1:32" s="6" customFormat="1" x14ac:dyDescent="0.25">
      <c r="A75" s="6" t="s">
        <v>196</v>
      </c>
      <c r="B75" s="6" t="s">
        <v>209</v>
      </c>
      <c r="C75" s="93" t="s">
        <v>4</v>
      </c>
      <c r="D75" s="7">
        <v>74</v>
      </c>
      <c r="E75" s="8">
        <v>0</v>
      </c>
      <c r="F75" s="8">
        <v>0</v>
      </c>
      <c r="G75" s="8">
        <v>0</v>
      </c>
      <c r="H75" s="8">
        <v>0</v>
      </c>
      <c r="I75" s="8">
        <v>0</v>
      </c>
      <c r="J75" s="8">
        <v>0</v>
      </c>
      <c r="K75" s="8">
        <v>0</v>
      </c>
      <c r="L75" s="8">
        <v>0</v>
      </c>
      <c r="M75" s="8">
        <v>0</v>
      </c>
      <c r="N75" s="8">
        <v>0</v>
      </c>
      <c r="O75" s="8">
        <v>0</v>
      </c>
      <c r="P75" s="8">
        <v>0</v>
      </c>
      <c r="Q75" s="8">
        <v>0</v>
      </c>
      <c r="R75" s="8">
        <v>0</v>
      </c>
      <c r="S75" s="8">
        <v>0</v>
      </c>
      <c r="T75" s="8">
        <v>0</v>
      </c>
      <c r="U75" s="8">
        <v>0</v>
      </c>
      <c r="V75" s="8">
        <v>0</v>
      </c>
      <c r="W75" s="1"/>
      <c r="X75" s="1"/>
      <c r="Y75" s="1"/>
      <c r="Z75" s="1"/>
      <c r="AA75" s="1"/>
      <c r="AB75" s="1"/>
      <c r="AC75" s="1"/>
      <c r="AD75" s="1"/>
      <c r="AE75" s="1"/>
      <c r="AF75" s="1"/>
    </row>
    <row r="76" spans="1:32" s="6" customFormat="1" x14ac:dyDescent="0.25">
      <c r="A76" s="6" t="s">
        <v>196</v>
      </c>
      <c r="B76" s="6" t="s">
        <v>210</v>
      </c>
      <c r="C76" s="93" t="s">
        <v>4</v>
      </c>
      <c r="D76" s="7">
        <v>75</v>
      </c>
      <c r="E76" s="8">
        <v>0</v>
      </c>
      <c r="F76" s="8">
        <v>0</v>
      </c>
      <c r="G76" s="8">
        <v>0</v>
      </c>
      <c r="H76" s="8">
        <v>0</v>
      </c>
      <c r="I76" s="8">
        <v>0</v>
      </c>
      <c r="J76" s="8">
        <v>0</v>
      </c>
      <c r="K76" s="8">
        <v>0</v>
      </c>
      <c r="L76" s="8">
        <v>0</v>
      </c>
      <c r="M76" s="8">
        <v>0</v>
      </c>
      <c r="N76" s="8">
        <v>0</v>
      </c>
      <c r="O76" s="8">
        <v>0</v>
      </c>
      <c r="P76" s="8">
        <v>0</v>
      </c>
      <c r="Q76" s="8">
        <v>0</v>
      </c>
      <c r="R76" s="8">
        <v>0</v>
      </c>
      <c r="S76" s="8">
        <v>0</v>
      </c>
      <c r="T76" s="8">
        <v>0</v>
      </c>
      <c r="U76" s="8">
        <v>0</v>
      </c>
      <c r="V76" s="8">
        <v>0</v>
      </c>
      <c r="W76" s="1"/>
      <c r="X76" s="1"/>
      <c r="Y76" s="1"/>
      <c r="Z76" s="1"/>
      <c r="AA76" s="1"/>
      <c r="AB76" s="1"/>
      <c r="AC76" s="1"/>
      <c r="AD76" s="1"/>
      <c r="AE76" s="1"/>
      <c r="AF76" s="1"/>
    </row>
    <row r="77" spans="1:32" s="6" customFormat="1" x14ac:dyDescent="0.25">
      <c r="A77" s="6" t="s">
        <v>211</v>
      </c>
      <c r="B77" s="6" t="s">
        <v>212</v>
      </c>
      <c r="C77" s="93" t="s">
        <v>4</v>
      </c>
      <c r="D77" s="7">
        <v>76</v>
      </c>
      <c r="E77" s="8">
        <v>0</v>
      </c>
      <c r="F77" s="8">
        <v>0</v>
      </c>
      <c r="G77" s="8">
        <v>0</v>
      </c>
      <c r="H77" s="8">
        <v>0</v>
      </c>
      <c r="I77" s="8">
        <v>0</v>
      </c>
      <c r="J77" s="8">
        <v>0</v>
      </c>
      <c r="K77" s="8">
        <v>0</v>
      </c>
      <c r="L77" s="8">
        <v>0</v>
      </c>
      <c r="M77" s="8">
        <v>0</v>
      </c>
      <c r="N77" s="8">
        <v>0</v>
      </c>
      <c r="O77" s="8">
        <v>0</v>
      </c>
      <c r="P77" s="8">
        <v>0</v>
      </c>
      <c r="Q77" s="8">
        <v>0</v>
      </c>
      <c r="R77" s="8">
        <v>0</v>
      </c>
      <c r="S77" s="8">
        <v>0</v>
      </c>
      <c r="T77" s="8">
        <v>0</v>
      </c>
      <c r="U77" s="8">
        <v>0</v>
      </c>
      <c r="V77" s="8">
        <v>0</v>
      </c>
      <c r="W77" s="1"/>
      <c r="X77" s="1"/>
      <c r="Y77" s="1"/>
      <c r="Z77" s="1"/>
      <c r="AA77" s="1"/>
      <c r="AB77" s="1"/>
      <c r="AC77" s="1"/>
      <c r="AD77" s="1"/>
      <c r="AE77" s="1"/>
      <c r="AF77" s="1"/>
    </row>
    <row r="78" spans="1:32" s="6" customFormat="1" x14ac:dyDescent="0.25">
      <c r="A78" s="6" t="s">
        <v>211</v>
      </c>
      <c r="B78" s="33" t="s">
        <v>212</v>
      </c>
      <c r="C78" s="93" t="s">
        <v>318</v>
      </c>
      <c r="D78" s="7">
        <v>77</v>
      </c>
      <c r="E78" s="8">
        <v>0</v>
      </c>
      <c r="F78" s="8">
        <v>0</v>
      </c>
      <c r="G78" s="8">
        <v>0</v>
      </c>
      <c r="H78" s="8">
        <v>0</v>
      </c>
      <c r="I78" s="8">
        <v>0</v>
      </c>
      <c r="J78" s="8">
        <v>0</v>
      </c>
      <c r="K78" s="8">
        <v>0</v>
      </c>
      <c r="L78" s="8">
        <v>0</v>
      </c>
      <c r="M78" s="8">
        <v>0</v>
      </c>
      <c r="N78" s="8">
        <v>0</v>
      </c>
      <c r="O78" s="8">
        <v>0</v>
      </c>
      <c r="P78" s="8">
        <v>0</v>
      </c>
      <c r="Q78" s="8">
        <v>0</v>
      </c>
      <c r="R78" s="8">
        <v>0</v>
      </c>
      <c r="S78" s="8">
        <v>0</v>
      </c>
      <c r="T78" s="8">
        <v>0</v>
      </c>
      <c r="U78" s="8">
        <v>0</v>
      </c>
      <c r="V78" s="8">
        <v>0</v>
      </c>
      <c r="W78" s="1"/>
      <c r="X78" s="1"/>
      <c r="Y78" s="1"/>
      <c r="Z78" s="1"/>
      <c r="AA78" s="1"/>
      <c r="AB78" s="1"/>
      <c r="AC78" s="1"/>
      <c r="AD78" s="1"/>
      <c r="AE78" s="1"/>
      <c r="AF78" s="1"/>
    </row>
    <row r="79" spans="1:32" s="6" customFormat="1" x14ac:dyDescent="0.25">
      <c r="A79" s="6" t="s">
        <v>211</v>
      </c>
      <c r="B79" s="6" t="s">
        <v>214</v>
      </c>
      <c r="C79" s="93" t="s">
        <v>4</v>
      </c>
      <c r="D79" s="7">
        <v>78</v>
      </c>
      <c r="E79" s="8">
        <v>0</v>
      </c>
      <c r="F79" s="8">
        <v>0</v>
      </c>
      <c r="G79" s="8">
        <v>0</v>
      </c>
      <c r="H79" s="8">
        <v>0</v>
      </c>
      <c r="I79" s="8">
        <v>0</v>
      </c>
      <c r="J79" s="8">
        <v>0</v>
      </c>
      <c r="K79" s="8">
        <v>0</v>
      </c>
      <c r="L79" s="8">
        <v>0</v>
      </c>
      <c r="M79" s="8">
        <v>0</v>
      </c>
      <c r="N79" s="8">
        <v>0</v>
      </c>
      <c r="O79" s="8">
        <v>0</v>
      </c>
      <c r="P79" s="8">
        <v>0</v>
      </c>
      <c r="Q79" s="8">
        <v>0</v>
      </c>
      <c r="R79" s="8">
        <v>0</v>
      </c>
      <c r="S79" s="8">
        <v>0</v>
      </c>
      <c r="T79" s="8">
        <v>0</v>
      </c>
      <c r="U79" s="8">
        <v>0</v>
      </c>
      <c r="V79" s="8">
        <v>0</v>
      </c>
      <c r="W79" s="1"/>
      <c r="X79" s="1"/>
      <c r="Y79" s="1"/>
      <c r="Z79" s="1"/>
      <c r="AA79" s="1"/>
      <c r="AB79" s="1"/>
      <c r="AC79" s="1"/>
      <c r="AD79" s="1"/>
      <c r="AE79" s="1"/>
      <c r="AF79" s="1"/>
    </row>
    <row r="80" spans="1:32" s="6" customFormat="1" x14ac:dyDescent="0.25">
      <c r="A80" s="6" t="s">
        <v>211</v>
      </c>
      <c r="B80" s="33" t="s">
        <v>214</v>
      </c>
      <c r="C80" s="93" t="s">
        <v>318</v>
      </c>
      <c r="D80" s="7">
        <v>79</v>
      </c>
      <c r="E80" s="8">
        <v>0</v>
      </c>
      <c r="F80" s="8">
        <v>0</v>
      </c>
      <c r="G80" s="8">
        <v>0</v>
      </c>
      <c r="H80" s="8">
        <v>0</v>
      </c>
      <c r="I80" s="8">
        <v>0</v>
      </c>
      <c r="J80" s="8">
        <v>0</v>
      </c>
      <c r="K80" s="8">
        <v>0</v>
      </c>
      <c r="L80" s="8">
        <v>0</v>
      </c>
      <c r="M80" s="8">
        <v>0</v>
      </c>
      <c r="N80" s="8">
        <v>0</v>
      </c>
      <c r="O80" s="8">
        <v>0</v>
      </c>
      <c r="P80" s="8">
        <v>0</v>
      </c>
      <c r="Q80" s="8">
        <v>0</v>
      </c>
      <c r="R80" s="8">
        <v>0</v>
      </c>
      <c r="S80" s="8">
        <v>0</v>
      </c>
      <c r="T80" s="8">
        <v>0</v>
      </c>
      <c r="U80" s="8">
        <v>0</v>
      </c>
      <c r="V80" s="8">
        <v>0</v>
      </c>
      <c r="W80" s="1"/>
      <c r="X80" s="1"/>
      <c r="Y80" s="1"/>
      <c r="Z80" s="1"/>
      <c r="AA80" s="1"/>
      <c r="AB80" s="1"/>
      <c r="AC80" s="1"/>
      <c r="AD80" s="1"/>
      <c r="AE80" s="1"/>
      <c r="AF80" s="1"/>
    </row>
    <row r="81" spans="1:32" s="6" customFormat="1" x14ac:dyDescent="0.25">
      <c r="A81" s="6" t="s">
        <v>211</v>
      </c>
      <c r="B81" s="6" t="s">
        <v>216</v>
      </c>
      <c r="C81" s="93" t="s">
        <v>4</v>
      </c>
      <c r="D81" s="7">
        <v>80</v>
      </c>
      <c r="E81" s="8">
        <v>0</v>
      </c>
      <c r="F81" s="8">
        <v>0</v>
      </c>
      <c r="G81" s="8">
        <v>0</v>
      </c>
      <c r="H81" s="8">
        <v>0</v>
      </c>
      <c r="I81" s="8">
        <v>0</v>
      </c>
      <c r="J81" s="8">
        <v>0</v>
      </c>
      <c r="K81" s="8">
        <v>0</v>
      </c>
      <c r="L81" s="8">
        <v>0</v>
      </c>
      <c r="M81" s="8">
        <v>0</v>
      </c>
      <c r="N81" s="8">
        <v>0</v>
      </c>
      <c r="O81" s="8">
        <v>0</v>
      </c>
      <c r="P81" s="8">
        <v>0</v>
      </c>
      <c r="Q81" s="8">
        <v>0</v>
      </c>
      <c r="R81" s="8">
        <v>0</v>
      </c>
      <c r="S81" s="8">
        <v>0</v>
      </c>
      <c r="T81" s="8">
        <v>0</v>
      </c>
      <c r="U81" s="8">
        <v>0</v>
      </c>
      <c r="V81" s="8">
        <v>0</v>
      </c>
      <c r="W81" s="1"/>
      <c r="X81" s="1"/>
      <c r="Y81" s="1"/>
      <c r="Z81" s="1"/>
      <c r="AA81" s="1"/>
      <c r="AB81" s="1"/>
      <c r="AC81" s="1"/>
      <c r="AD81" s="1"/>
      <c r="AE81" s="1"/>
      <c r="AF81" s="1"/>
    </row>
    <row r="82" spans="1:32" s="6" customFormat="1" x14ac:dyDescent="0.25">
      <c r="A82" s="6" t="s">
        <v>211</v>
      </c>
      <c r="B82" s="33" t="s">
        <v>216</v>
      </c>
      <c r="C82" s="93" t="s">
        <v>318</v>
      </c>
      <c r="D82" s="7">
        <v>81</v>
      </c>
      <c r="E82" s="8">
        <v>0</v>
      </c>
      <c r="F82" s="8">
        <v>0</v>
      </c>
      <c r="G82" s="8">
        <v>0</v>
      </c>
      <c r="H82" s="8">
        <v>0</v>
      </c>
      <c r="I82" s="8">
        <v>0</v>
      </c>
      <c r="J82" s="8">
        <v>0</v>
      </c>
      <c r="K82" s="8">
        <v>0</v>
      </c>
      <c r="L82" s="8">
        <v>0</v>
      </c>
      <c r="M82" s="8">
        <v>0</v>
      </c>
      <c r="N82" s="8">
        <v>0</v>
      </c>
      <c r="O82" s="8">
        <v>0</v>
      </c>
      <c r="P82" s="8">
        <v>0</v>
      </c>
      <c r="Q82" s="8">
        <v>0</v>
      </c>
      <c r="R82" s="8">
        <v>0</v>
      </c>
      <c r="S82" s="8">
        <v>0</v>
      </c>
      <c r="T82" s="8">
        <v>0</v>
      </c>
      <c r="U82" s="8">
        <v>0</v>
      </c>
      <c r="V82" s="8">
        <v>0</v>
      </c>
      <c r="W82" s="1"/>
      <c r="X82" s="1"/>
      <c r="Y82" s="1"/>
      <c r="Z82" s="1"/>
      <c r="AA82" s="1"/>
      <c r="AB82" s="1"/>
      <c r="AC82" s="1"/>
      <c r="AD82" s="1"/>
      <c r="AE82" s="1"/>
      <c r="AF82" s="1"/>
    </row>
    <row r="83" spans="1:32" s="6" customFormat="1" x14ac:dyDescent="0.25">
      <c r="A83" s="6" t="s">
        <v>218</v>
      </c>
      <c r="B83" s="6" t="s">
        <v>219</v>
      </c>
      <c r="C83" s="93" t="s">
        <v>4</v>
      </c>
      <c r="D83" s="7">
        <v>82</v>
      </c>
      <c r="E83" s="8">
        <v>0</v>
      </c>
      <c r="F83" s="8">
        <v>0</v>
      </c>
      <c r="G83" s="8">
        <v>0</v>
      </c>
      <c r="H83" s="8">
        <v>0</v>
      </c>
      <c r="I83" s="8">
        <v>0</v>
      </c>
      <c r="J83" s="8">
        <v>0</v>
      </c>
      <c r="K83" s="8">
        <v>0</v>
      </c>
      <c r="L83" s="8">
        <v>0</v>
      </c>
      <c r="M83" s="8">
        <v>0</v>
      </c>
      <c r="N83" s="8">
        <v>0</v>
      </c>
      <c r="O83" s="8">
        <v>0</v>
      </c>
      <c r="P83" s="8">
        <v>0</v>
      </c>
      <c r="Q83" s="8">
        <v>0</v>
      </c>
      <c r="R83" s="8">
        <v>0</v>
      </c>
      <c r="S83" s="8">
        <v>0</v>
      </c>
      <c r="T83" s="8">
        <v>0</v>
      </c>
      <c r="U83" s="8">
        <v>0</v>
      </c>
      <c r="V83" s="8">
        <v>0</v>
      </c>
      <c r="W83" s="1"/>
      <c r="X83" s="1"/>
      <c r="Y83" s="1"/>
      <c r="Z83" s="1"/>
      <c r="AA83" s="1"/>
      <c r="AB83" s="1"/>
      <c r="AC83" s="1"/>
      <c r="AD83" s="1"/>
      <c r="AE83" s="1"/>
      <c r="AF83" s="1"/>
    </row>
    <row r="84" spans="1:32" s="6" customFormat="1" x14ac:dyDescent="0.25">
      <c r="A84" s="6" t="s">
        <v>218</v>
      </c>
      <c r="B84" s="6" t="s">
        <v>220</v>
      </c>
      <c r="C84" s="93" t="s">
        <v>4</v>
      </c>
      <c r="D84" s="7">
        <v>83</v>
      </c>
      <c r="E84" s="8">
        <v>0</v>
      </c>
      <c r="F84" s="8">
        <v>0</v>
      </c>
      <c r="G84" s="8">
        <v>0</v>
      </c>
      <c r="H84" s="8">
        <v>0</v>
      </c>
      <c r="I84" s="8">
        <v>0</v>
      </c>
      <c r="J84" s="8">
        <v>0</v>
      </c>
      <c r="K84" s="8">
        <v>0</v>
      </c>
      <c r="L84" s="8">
        <v>0</v>
      </c>
      <c r="M84" s="8">
        <v>0</v>
      </c>
      <c r="N84" s="8">
        <v>0</v>
      </c>
      <c r="O84" s="8">
        <v>0</v>
      </c>
      <c r="P84" s="8">
        <v>0</v>
      </c>
      <c r="Q84" s="8">
        <v>0</v>
      </c>
      <c r="R84" s="8">
        <v>0</v>
      </c>
      <c r="S84" s="8">
        <v>0</v>
      </c>
      <c r="T84" s="8">
        <v>0</v>
      </c>
      <c r="U84" s="8">
        <v>0</v>
      </c>
      <c r="V84" s="8">
        <v>0</v>
      </c>
      <c r="W84" s="1"/>
      <c r="X84" s="1"/>
      <c r="Y84" s="1"/>
      <c r="Z84" s="1"/>
      <c r="AA84" s="1"/>
      <c r="AB84" s="1"/>
      <c r="AC84" s="1"/>
      <c r="AD84" s="1"/>
      <c r="AE84" s="1"/>
      <c r="AF84" s="1"/>
    </row>
    <row r="85" spans="1:32" s="6" customFormat="1" x14ac:dyDescent="0.25">
      <c r="A85" s="6" t="s">
        <v>221</v>
      </c>
      <c r="B85" s="6" t="s">
        <v>222</v>
      </c>
      <c r="C85" s="93" t="s">
        <v>4</v>
      </c>
      <c r="D85" s="7">
        <v>84</v>
      </c>
      <c r="E85" s="8">
        <v>0</v>
      </c>
      <c r="F85" s="8">
        <v>0</v>
      </c>
      <c r="G85" s="8">
        <v>0</v>
      </c>
      <c r="H85" s="8">
        <v>0</v>
      </c>
      <c r="I85" s="8">
        <v>0</v>
      </c>
      <c r="J85" s="8">
        <v>0</v>
      </c>
      <c r="K85" s="8">
        <v>0</v>
      </c>
      <c r="L85" s="8">
        <v>0</v>
      </c>
      <c r="M85" s="8">
        <v>0</v>
      </c>
      <c r="N85" s="8">
        <v>0</v>
      </c>
      <c r="O85" s="8">
        <v>0</v>
      </c>
      <c r="P85" s="8">
        <v>0</v>
      </c>
      <c r="Q85" s="8">
        <v>0</v>
      </c>
      <c r="R85" s="8">
        <v>0</v>
      </c>
      <c r="S85" s="8">
        <v>0</v>
      </c>
      <c r="T85" s="8">
        <v>0</v>
      </c>
      <c r="U85" s="8">
        <v>0</v>
      </c>
      <c r="V85" s="8">
        <v>0</v>
      </c>
      <c r="W85" s="1"/>
      <c r="X85" s="1"/>
      <c r="Y85" s="1"/>
      <c r="Z85" s="1"/>
      <c r="AA85" s="1"/>
      <c r="AB85" s="1"/>
      <c r="AC85" s="1"/>
      <c r="AD85" s="1"/>
      <c r="AE85" s="1"/>
      <c r="AF85" s="1"/>
    </row>
    <row r="86" spans="1:32" s="6" customFormat="1" x14ac:dyDescent="0.25">
      <c r="A86" s="6" t="s">
        <v>221</v>
      </c>
      <c r="B86" s="6" t="s">
        <v>223</v>
      </c>
      <c r="C86" s="93" t="s">
        <v>4</v>
      </c>
      <c r="D86" s="7">
        <v>85</v>
      </c>
      <c r="E86" s="8">
        <v>0</v>
      </c>
      <c r="F86" s="8">
        <v>0</v>
      </c>
      <c r="G86" s="8">
        <v>0</v>
      </c>
      <c r="H86" s="8">
        <v>0</v>
      </c>
      <c r="I86" s="8">
        <v>0</v>
      </c>
      <c r="J86" s="8">
        <v>0</v>
      </c>
      <c r="K86" s="8">
        <v>0</v>
      </c>
      <c r="L86" s="8">
        <v>0</v>
      </c>
      <c r="M86" s="8">
        <v>0</v>
      </c>
      <c r="N86" s="8">
        <v>0</v>
      </c>
      <c r="O86" s="8">
        <v>0</v>
      </c>
      <c r="P86" s="8">
        <v>0</v>
      </c>
      <c r="Q86" s="8">
        <v>0</v>
      </c>
      <c r="R86" s="8">
        <v>0</v>
      </c>
      <c r="S86" s="8">
        <v>0</v>
      </c>
      <c r="T86" s="8">
        <v>0</v>
      </c>
      <c r="U86" s="8">
        <v>0</v>
      </c>
      <c r="V86" s="8">
        <v>0</v>
      </c>
      <c r="W86" s="1"/>
      <c r="X86" s="1"/>
      <c r="Y86" s="1"/>
      <c r="Z86" s="1"/>
      <c r="AA86" s="1"/>
      <c r="AB86" s="1"/>
      <c r="AC86" s="1"/>
      <c r="AD86" s="1"/>
      <c r="AE86" s="1"/>
      <c r="AF86" s="1"/>
    </row>
    <row r="87" spans="1:32" s="6" customFormat="1" x14ac:dyDescent="0.25">
      <c r="A87" s="6" t="s">
        <v>221</v>
      </c>
      <c r="B87" s="6" t="s">
        <v>224</v>
      </c>
      <c r="C87" s="93" t="s">
        <v>4</v>
      </c>
      <c r="D87" s="7">
        <v>86</v>
      </c>
      <c r="E87" s="8">
        <v>0</v>
      </c>
      <c r="F87" s="8">
        <v>0</v>
      </c>
      <c r="G87" s="8">
        <v>0</v>
      </c>
      <c r="H87" s="8">
        <v>0</v>
      </c>
      <c r="I87" s="8">
        <v>0</v>
      </c>
      <c r="J87" s="8">
        <v>0</v>
      </c>
      <c r="K87" s="8">
        <v>0</v>
      </c>
      <c r="L87" s="8">
        <v>0</v>
      </c>
      <c r="M87" s="8">
        <v>0</v>
      </c>
      <c r="N87" s="8">
        <v>0</v>
      </c>
      <c r="O87" s="8">
        <v>0</v>
      </c>
      <c r="P87" s="8">
        <v>0</v>
      </c>
      <c r="Q87" s="8">
        <v>0</v>
      </c>
      <c r="R87" s="8">
        <v>0</v>
      </c>
      <c r="S87" s="8">
        <v>0</v>
      </c>
      <c r="T87" s="8">
        <v>0</v>
      </c>
      <c r="U87" s="8">
        <v>0</v>
      </c>
      <c r="V87" s="8">
        <v>0</v>
      </c>
      <c r="W87" s="1"/>
      <c r="X87" s="1"/>
      <c r="Y87" s="1"/>
      <c r="Z87" s="1"/>
      <c r="AA87" s="1"/>
      <c r="AB87" s="1"/>
      <c r="AC87" s="1"/>
      <c r="AD87" s="1"/>
      <c r="AE87" s="1"/>
      <c r="AF87" s="1"/>
    </row>
    <row r="88" spans="1:32" s="6" customFormat="1" x14ac:dyDescent="0.25">
      <c r="A88" s="6" t="s">
        <v>221</v>
      </c>
      <c r="B88" s="6" t="s">
        <v>225</v>
      </c>
      <c r="C88" s="93" t="s">
        <v>4</v>
      </c>
      <c r="D88" s="7">
        <v>87</v>
      </c>
      <c r="E88" s="8">
        <v>0</v>
      </c>
      <c r="F88" s="8">
        <v>0</v>
      </c>
      <c r="G88" s="8">
        <v>0</v>
      </c>
      <c r="H88" s="8">
        <v>0</v>
      </c>
      <c r="I88" s="8">
        <v>0</v>
      </c>
      <c r="J88" s="8">
        <v>0</v>
      </c>
      <c r="K88" s="8">
        <v>0</v>
      </c>
      <c r="L88" s="8">
        <v>0</v>
      </c>
      <c r="M88" s="8">
        <v>0</v>
      </c>
      <c r="N88" s="8">
        <v>0</v>
      </c>
      <c r="O88" s="8">
        <v>0</v>
      </c>
      <c r="P88" s="8">
        <v>0</v>
      </c>
      <c r="Q88" s="8">
        <v>0</v>
      </c>
      <c r="R88" s="8">
        <v>0</v>
      </c>
      <c r="S88" s="8">
        <v>0</v>
      </c>
      <c r="T88" s="8">
        <v>0</v>
      </c>
      <c r="U88" s="8">
        <v>0</v>
      </c>
      <c r="V88" s="8">
        <v>0</v>
      </c>
      <c r="W88" s="1"/>
      <c r="X88" s="1"/>
      <c r="Y88" s="1"/>
      <c r="Z88" s="1"/>
      <c r="AA88" s="1"/>
      <c r="AB88" s="1"/>
      <c r="AC88" s="1"/>
      <c r="AD88" s="1"/>
      <c r="AE88" s="1"/>
      <c r="AF88" s="1"/>
    </row>
    <row r="89" spans="1:32" s="6" customFormat="1" x14ac:dyDescent="0.25">
      <c r="A89" s="6" t="s">
        <v>226</v>
      </c>
      <c r="B89" s="6" t="s">
        <v>227</v>
      </c>
      <c r="C89" s="93" t="s">
        <v>4</v>
      </c>
      <c r="D89" s="7">
        <v>88</v>
      </c>
      <c r="E89" s="8">
        <v>0</v>
      </c>
      <c r="F89" s="8">
        <v>0</v>
      </c>
      <c r="G89" s="8">
        <v>0</v>
      </c>
      <c r="H89" s="8">
        <v>0</v>
      </c>
      <c r="I89" s="8">
        <v>0</v>
      </c>
      <c r="J89" s="8">
        <v>0</v>
      </c>
      <c r="K89" s="8">
        <v>0</v>
      </c>
      <c r="L89" s="8">
        <v>0</v>
      </c>
      <c r="M89" s="8">
        <v>0</v>
      </c>
      <c r="N89" s="8">
        <v>0</v>
      </c>
      <c r="O89" s="8">
        <v>0</v>
      </c>
      <c r="P89" s="8">
        <v>0</v>
      </c>
      <c r="Q89" s="8">
        <v>0</v>
      </c>
      <c r="R89" s="8">
        <v>0</v>
      </c>
      <c r="S89" s="8">
        <v>0</v>
      </c>
      <c r="T89" s="8">
        <v>0</v>
      </c>
      <c r="U89" s="8">
        <v>0</v>
      </c>
      <c r="V89" s="8">
        <v>0</v>
      </c>
      <c r="W89" s="1"/>
      <c r="X89" s="1"/>
      <c r="Y89" s="1"/>
      <c r="Z89" s="1"/>
      <c r="AA89" s="1"/>
      <c r="AB89" s="1"/>
      <c r="AC89" s="1"/>
      <c r="AD89" s="1"/>
      <c r="AE89" s="1"/>
      <c r="AF89" s="1"/>
    </row>
    <row r="90" spans="1:32" s="6" customFormat="1" x14ac:dyDescent="0.25">
      <c r="A90" s="6" t="s">
        <v>226</v>
      </c>
      <c r="B90" s="6" t="s">
        <v>228</v>
      </c>
      <c r="C90" s="93" t="s">
        <v>4</v>
      </c>
      <c r="D90" s="7">
        <v>89</v>
      </c>
      <c r="E90" s="8">
        <v>0</v>
      </c>
      <c r="F90" s="8">
        <v>0</v>
      </c>
      <c r="G90" s="8">
        <v>0</v>
      </c>
      <c r="H90" s="8">
        <v>0</v>
      </c>
      <c r="I90" s="8">
        <v>0</v>
      </c>
      <c r="J90" s="8">
        <v>0</v>
      </c>
      <c r="K90" s="8">
        <v>0</v>
      </c>
      <c r="L90" s="8">
        <v>0</v>
      </c>
      <c r="M90" s="8">
        <v>0</v>
      </c>
      <c r="N90" s="8">
        <v>0</v>
      </c>
      <c r="O90" s="8">
        <v>0</v>
      </c>
      <c r="P90" s="8">
        <v>0</v>
      </c>
      <c r="Q90" s="8">
        <v>0</v>
      </c>
      <c r="R90" s="8">
        <v>0</v>
      </c>
      <c r="S90" s="8">
        <v>0</v>
      </c>
      <c r="T90" s="8">
        <v>0</v>
      </c>
      <c r="U90" s="8">
        <v>0</v>
      </c>
      <c r="V90" s="8">
        <v>0</v>
      </c>
      <c r="W90" s="1"/>
      <c r="X90" s="1"/>
      <c r="Y90" s="1"/>
      <c r="Z90" s="1"/>
      <c r="AA90" s="1"/>
      <c r="AB90" s="1"/>
      <c r="AC90" s="1"/>
      <c r="AD90" s="1"/>
      <c r="AE90" s="1"/>
      <c r="AF90" s="1"/>
    </row>
    <row r="91" spans="1:32" s="6" customFormat="1" x14ac:dyDescent="0.25">
      <c r="A91" s="6" t="s">
        <v>226</v>
      </c>
      <c r="B91" s="6" t="s">
        <v>229</v>
      </c>
      <c r="C91" s="93" t="s">
        <v>4</v>
      </c>
      <c r="D91" s="7">
        <v>90</v>
      </c>
      <c r="E91" s="8">
        <v>0</v>
      </c>
      <c r="F91" s="8">
        <v>0</v>
      </c>
      <c r="G91" s="8">
        <v>0</v>
      </c>
      <c r="H91" s="8">
        <v>0</v>
      </c>
      <c r="I91" s="8">
        <v>0</v>
      </c>
      <c r="J91" s="8">
        <v>0</v>
      </c>
      <c r="K91" s="8">
        <v>0</v>
      </c>
      <c r="L91" s="8">
        <v>0</v>
      </c>
      <c r="M91" s="8">
        <v>0</v>
      </c>
      <c r="N91" s="8">
        <v>0</v>
      </c>
      <c r="O91" s="8">
        <v>0</v>
      </c>
      <c r="P91" s="8">
        <v>0</v>
      </c>
      <c r="Q91" s="8">
        <v>0</v>
      </c>
      <c r="R91" s="8">
        <v>0</v>
      </c>
      <c r="S91" s="8">
        <v>0</v>
      </c>
      <c r="T91" s="8">
        <v>0</v>
      </c>
      <c r="U91" s="8">
        <v>0</v>
      </c>
      <c r="V91" s="8">
        <v>0</v>
      </c>
      <c r="W91" s="1"/>
      <c r="X91" s="1"/>
      <c r="Y91" s="1"/>
      <c r="Z91" s="1"/>
      <c r="AA91" s="1"/>
      <c r="AB91" s="1"/>
      <c r="AC91" s="1"/>
      <c r="AD91" s="1"/>
      <c r="AE91" s="1"/>
      <c r="AF91" s="1"/>
    </row>
    <row r="92" spans="1:32" s="6" customFormat="1" x14ac:dyDescent="0.25">
      <c r="A92" s="6" t="s">
        <v>226</v>
      </c>
      <c r="B92" s="6" t="s">
        <v>230</v>
      </c>
      <c r="C92" s="93" t="s">
        <v>4</v>
      </c>
      <c r="D92" s="7">
        <v>91</v>
      </c>
      <c r="E92" s="8">
        <v>0</v>
      </c>
      <c r="F92" s="8">
        <v>0</v>
      </c>
      <c r="G92" s="8">
        <v>0</v>
      </c>
      <c r="H92" s="8">
        <v>0</v>
      </c>
      <c r="I92" s="8">
        <v>0</v>
      </c>
      <c r="J92" s="8">
        <v>0</v>
      </c>
      <c r="K92" s="8">
        <v>0</v>
      </c>
      <c r="L92" s="8">
        <v>0</v>
      </c>
      <c r="M92" s="8">
        <v>0</v>
      </c>
      <c r="N92" s="8">
        <v>0</v>
      </c>
      <c r="O92" s="8">
        <v>0</v>
      </c>
      <c r="P92" s="8">
        <v>0</v>
      </c>
      <c r="Q92" s="8">
        <v>0</v>
      </c>
      <c r="R92" s="8">
        <v>0</v>
      </c>
      <c r="S92" s="8">
        <v>0</v>
      </c>
      <c r="T92" s="8">
        <v>0</v>
      </c>
      <c r="U92" s="8">
        <v>0</v>
      </c>
      <c r="V92" s="8">
        <v>0</v>
      </c>
      <c r="W92" s="1"/>
      <c r="X92" s="1"/>
      <c r="Y92" s="1"/>
      <c r="Z92" s="1"/>
      <c r="AA92" s="1"/>
      <c r="AB92" s="1"/>
      <c r="AC92" s="1"/>
      <c r="AD92" s="1"/>
      <c r="AE92" s="1"/>
      <c r="AF92" s="1"/>
    </row>
    <row r="93" spans="1:32" s="6" customFormat="1" x14ac:dyDescent="0.25">
      <c r="A93" s="6" t="s">
        <v>226</v>
      </c>
      <c r="B93" s="6" t="s">
        <v>231</v>
      </c>
      <c r="C93" s="93" t="s">
        <v>4</v>
      </c>
      <c r="D93" s="7">
        <v>92</v>
      </c>
      <c r="E93" s="8">
        <v>0</v>
      </c>
      <c r="F93" s="8">
        <v>0</v>
      </c>
      <c r="G93" s="8">
        <v>0</v>
      </c>
      <c r="H93" s="8">
        <v>0</v>
      </c>
      <c r="I93" s="8">
        <v>0</v>
      </c>
      <c r="J93" s="8">
        <v>0</v>
      </c>
      <c r="K93" s="8">
        <v>0</v>
      </c>
      <c r="L93" s="8">
        <v>0</v>
      </c>
      <c r="M93" s="8">
        <v>0</v>
      </c>
      <c r="N93" s="8">
        <v>0</v>
      </c>
      <c r="O93" s="8">
        <v>0</v>
      </c>
      <c r="P93" s="8">
        <v>0</v>
      </c>
      <c r="Q93" s="8">
        <v>0</v>
      </c>
      <c r="R93" s="8">
        <v>0</v>
      </c>
      <c r="S93" s="8">
        <v>0</v>
      </c>
      <c r="T93" s="8">
        <v>0</v>
      </c>
      <c r="U93" s="8">
        <v>0</v>
      </c>
      <c r="V93" s="8">
        <v>0</v>
      </c>
      <c r="W93" s="1"/>
      <c r="X93" s="1"/>
      <c r="Y93" s="1"/>
      <c r="Z93" s="1"/>
      <c r="AA93" s="1"/>
      <c r="AB93" s="1"/>
      <c r="AC93" s="1"/>
      <c r="AD93" s="1"/>
      <c r="AE93" s="1"/>
      <c r="AF93" s="1"/>
    </row>
    <row r="94" spans="1:32" s="6" customFormat="1" x14ac:dyDescent="0.25">
      <c r="A94" s="6" t="s">
        <v>226</v>
      </c>
      <c r="B94" s="6" t="s">
        <v>232</v>
      </c>
      <c r="C94" s="93" t="s">
        <v>4</v>
      </c>
      <c r="D94" s="7">
        <v>93</v>
      </c>
      <c r="E94" s="8">
        <v>0</v>
      </c>
      <c r="F94" s="8">
        <v>0</v>
      </c>
      <c r="G94" s="8">
        <v>0</v>
      </c>
      <c r="H94" s="8">
        <v>0</v>
      </c>
      <c r="I94" s="8">
        <v>0</v>
      </c>
      <c r="J94" s="8">
        <v>0</v>
      </c>
      <c r="K94" s="8">
        <v>0</v>
      </c>
      <c r="L94" s="8">
        <v>0</v>
      </c>
      <c r="M94" s="8">
        <v>0</v>
      </c>
      <c r="N94" s="8">
        <v>0</v>
      </c>
      <c r="O94" s="8">
        <v>0</v>
      </c>
      <c r="P94" s="8">
        <v>0</v>
      </c>
      <c r="Q94" s="8">
        <v>0</v>
      </c>
      <c r="R94" s="8">
        <v>0</v>
      </c>
      <c r="S94" s="8">
        <v>0</v>
      </c>
      <c r="T94" s="8">
        <v>0</v>
      </c>
      <c r="U94" s="8">
        <v>0</v>
      </c>
      <c r="V94" s="8">
        <v>0</v>
      </c>
      <c r="W94" s="1"/>
      <c r="X94" s="1"/>
      <c r="Y94" s="1"/>
      <c r="Z94" s="1"/>
      <c r="AA94" s="1"/>
      <c r="AB94" s="1"/>
      <c r="AC94" s="1"/>
      <c r="AD94" s="1"/>
      <c r="AE94" s="1"/>
      <c r="AF94" s="1"/>
    </row>
    <row r="95" spans="1:32" s="6" customFormat="1" x14ac:dyDescent="0.25">
      <c r="A95" s="6" t="s">
        <v>226</v>
      </c>
      <c r="B95" s="6" t="s">
        <v>233</v>
      </c>
      <c r="C95" s="93" t="s">
        <v>4</v>
      </c>
      <c r="D95" s="7">
        <v>94</v>
      </c>
      <c r="E95" s="8">
        <v>0</v>
      </c>
      <c r="F95" s="8">
        <v>0</v>
      </c>
      <c r="G95" s="8">
        <v>0</v>
      </c>
      <c r="H95" s="8">
        <v>0</v>
      </c>
      <c r="I95" s="8">
        <v>0</v>
      </c>
      <c r="J95" s="8">
        <v>0</v>
      </c>
      <c r="K95" s="8">
        <v>0</v>
      </c>
      <c r="L95" s="8">
        <v>0</v>
      </c>
      <c r="M95" s="8">
        <v>0</v>
      </c>
      <c r="N95" s="8">
        <v>0</v>
      </c>
      <c r="O95" s="8">
        <v>0</v>
      </c>
      <c r="P95" s="8">
        <v>0</v>
      </c>
      <c r="Q95" s="8">
        <v>0</v>
      </c>
      <c r="R95" s="8">
        <v>0</v>
      </c>
      <c r="S95" s="8">
        <v>0</v>
      </c>
      <c r="T95" s="8">
        <v>0</v>
      </c>
      <c r="U95" s="8">
        <v>0</v>
      </c>
      <c r="V95" s="8">
        <v>0</v>
      </c>
      <c r="W95" s="1"/>
      <c r="X95" s="1"/>
      <c r="Y95" s="1"/>
      <c r="Z95" s="1"/>
      <c r="AA95" s="1"/>
      <c r="AB95" s="1"/>
      <c r="AC95" s="1"/>
      <c r="AD95" s="1"/>
      <c r="AE95" s="1"/>
      <c r="AF95" s="1"/>
    </row>
    <row r="96" spans="1:32" s="6" customFormat="1" x14ac:dyDescent="0.25">
      <c r="A96" s="6" t="s">
        <v>226</v>
      </c>
      <c r="B96" s="6" t="s">
        <v>234</v>
      </c>
      <c r="C96" s="93" t="s">
        <v>4</v>
      </c>
      <c r="D96" s="7">
        <v>95</v>
      </c>
      <c r="E96" s="8">
        <v>0</v>
      </c>
      <c r="F96" s="8">
        <v>0</v>
      </c>
      <c r="G96" s="8">
        <v>0</v>
      </c>
      <c r="H96" s="8">
        <v>0</v>
      </c>
      <c r="I96" s="8">
        <v>0</v>
      </c>
      <c r="J96" s="8">
        <v>0</v>
      </c>
      <c r="K96" s="8">
        <v>0</v>
      </c>
      <c r="L96" s="8">
        <v>0</v>
      </c>
      <c r="M96" s="8">
        <v>0</v>
      </c>
      <c r="N96" s="8">
        <v>0</v>
      </c>
      <c r="O96" s="8">
        <v>0</v>
      </c>
      <c r="P96" s="8">
        <v>0</v>
      </c>
      <c r="Q96" s="8">
        <v>0</v>
      </c>
      <c r="R96" s="8">
        <v>0</v>
      </c>
      <c r="S96" s="8">
        <v>0</v>
      </c>
      <c r="T96" s="8">
        <v>0</v>
      </c>
      <c r="U96" s="8">
        <v>0</v>
      </c>
      <c r="V96" s="8">
        <v>0</v>
      </c>
      <c r="W96" s="1"/>
      <c r="X96" s="1"/>
      <c r="Y96" s="1"/>
      <c r="Z96" s="1"/>
      <c r="AA96" s="1"/>
      <c r="AB96" s="1"/>
      <c r="AC96" s="1"/>
      <c r="AD96" s="1"/>
      <c r="AE96" s="1"/>
      <c r="AF96" s="1"/>
    </row>
    <row r="97" spans="1:32" s="6" customFormat="1" x14ac:dyDescent="0.25">
      <c r="A97" s="6" t="s">
        <v>226</v>
      </c>
      <c r="B97" s="6" t="s">
        <v>235</v>
      </c>
      <c r="C97" s="93" t="s">
        <v>4</v>
      </c>
      <c r="D97" s="7">
        <v>96</v>
      </c>
      <c r="E97" s="8">
        <v>0</v>
      </c>
      <c r="F97" s="8">
        <v>0</v>
      </c>
      <c r="G97" s="8">
        <v>0</v>
      </c>
      <c r="H97" s="8">
        <v>0</v>
      </c>
      <c r="I97" s="8">
        <v>0</v>
      </c>
      <c r="J97" s="8">
        <v>0</v>
      </c>
      <c r="K97" s="8">
        <v>0</v>
      </c>
      <c r="L97" s="8">
        <v>0</v>
      </c>
      <c r="M97" s="8">
        <v>0</v>
      </c>
      <c r="N97" s="8">
        <v>0</v>
      </c>
      <c r="O97" s="8">
        <v>0</v>
      </c>
      <c r="P97" s="8">
        <v>0</v>
      </c>
      <c r="Q97" s="8">
        <v>0</v>
      </c>
      <c r="R97" s="8">
        <v>0</v>
      </c>
      <c r="S97" s="8">
        <v>0</v>
      </c>
      <c r="T97" s="8">
        <v>0</v>
      </c>
      <c r="U97" s="8">
        <v>0</v>
      </c>
      <c r="V97" s="8">
        <v>0</v>
      </c>
      <c r="W97" s="1"/>
      <c r="X97" s="1"/>
      <c r="Y97" s="1"/>
      <c r="Z97" s="1"/>
      <c r="AA97" s="1"/>
      <c r="AB97" s="1"/>
      <c r="AC97" s="1"/>
      <c r="AD97" s="1"/>
      <c r="AE97" s="1"/>
      <c r="AF97" s="1"/>
    </row>
    <row r="98" spans="1:32" s="6" customFormat="1" x14ac:dyDescent="0.25">
      <c r="A98" s="6" t="s">
        <v>226</v>
      </c>
      <c r="B98" s="6" t="s">
        <v>236</v>
      </c>
      <c r="C98" s="93" t="s">
        <v>4</v>
      </c>
      <c r="D98" s="7">
        <v>97</v>
      </c>
      <c r="E98" s="8">
        <v>0</v>
      </c>
      <c r="F98" s="8">
        <v>0</v>
      </c>
      <c r="G98" s="8">
        <v>0</v>
      </c>
      <c r="H98" s="8">
        <v>0</v>
      </c>
      <c r="I98" s="8">
        <v>0</v>
      </c>
      <c r="J98" s="8">
        <v>0</v>
      </c>
      <c r="K98" s="8">
        <v>0</v>
      </c>
      <c r="L98" s="8">
        <v>0</v>
      </c>
      <c r="M98" s="8">
        <v>0</v>
      </c>
      <c r="N98" s="8">
        <v>0</v>
      </c>
      <c r="O98" s="8">
        <v>0</v>
      </c>
      <c r="P98" s="8">
        <v>0</v>
      </c>
      <c r="Q98" s="8">
        <v>0</v>
      </c>
      <c r="R98" s="8">
        <v>0</v>
      </c>
      <c r="S98" s="8">
        <v>0</v>
      </c>
      <c r="T98" s="8">
        <v>0</v>
      </c>
      <c r="U98" s="8">
        <v>0</v>
      </c>
      <c r="V98" s="8">
        <v>0</v>
      </c>
      <c r="W98" s="1"/>
      <c r="X98" s="1"/>
      <c r="Y98" s="1"/>
      <c r="Z98" s="1"/>
      <c r="AA98" s="1"/>
      <c r="AB98" s="1"/>
      <c r="AC98" s="1"/>
      <c r="AD98" s="1"/>
      <c r="AE98" s="1"/>
      <c r="AF98" s="1"/>
    </row>
    <row r="99" spans="1:32" s="6" customFormat="1" x14ac:dyDescent="0.25">
      <c r="A99" s="6" t="s">
        <v>237</v>
      </c>
      <c r="B99" s="6" t="s">
        <v>238</v>
      </c>
      <c r="C99" s="93" t="s">
        <v>4</v>
      </c>
      <c r="D99" s="7">
        <v>98</v>
      </c>
      <c r="E99" s="8">
        <v>0</v>
      </c>
      <c r="F99" s="8">
        <v>0</v>
      </c>
      <c r="G99" s="8">
        <v>0</v>
      </c>
      <c r="H99" s="8">
        <v>0</v>
      </c>
      <c r="I99" s="8">
        <v>0</v>
      </c>
      <c r="J99" s="8">
        <v>0</v>
      </c>
      <c r="K99" s="8">
        <v>0</v>
      </c>
      <c r="L99" s="8">
        <v>0</v>
      </c>
      <c r="M99" s="8">
        <v>0</v>
      </c>
      <c r="N99" s="8">
        <v>0</v>
      </c>
      <c r="O99" s="8">
        <v>0</v>
      </c>
      <c r="P99" s="8">
        <v>0</v>
      </c>
      <c r="Q99" s="8">
        <v>0</v>
      </c>
      <c r="R99" s="8">
        <v>0</v>
      </c>
      <c r="S99" s="8">
        <v>0</v>
      </c>
      <c r="T99" s="8">
        <v>0</v>
      </c>
      <c r="U99" s="8">
        <v>0</v>
      </c>
      <c r="V99" s="8">
        <v>0</v>
      </c>
      <c r="W99" s="1"/>
      <c r="X99" s="1"/>
      <c r="Y99" s="1"/>
      <c r="Z99" s="1"/>
      <c r="AA99" s="1"/>
      <c r="AB99" s="1"/>
      <c r="AC99" s="1"/>
      <c r="AD99" s="1"/>
      <c r="AE99" s="1"/>
      <c r="AF99" s="1"/>
    </row>
    <row r="100" spans="1:32" s="6" customFormat="1" x14ac:dyDescent="0.25">
      <c r="A100" s="6" t="s">
        <v>237</v>
      </c>
      <c r="B100" s="6" t="s">
        <v>239</v>
      </c>
      <c r="C100" s="93" t="s">
        <v>4</v>
      </c>
      <c r="D100" s="7">
        <v>99</v>
      </c>
      <c r="E100" s="8">
        <v>0</v>
      </c>
      <c r="F100" s="8">
        <v>0</v>
      </c>
      <c r="G100" s="8">
        <v>0</v>
      </c>
      <c r="H100" s="8">
        <v>0</v>
      </c>
      <c r="I100" s="8">
        <v>0</v>
      </c>
      <c r="J100" s="8">
        <v>0</v>
      </c>
      <c r="K100" s="8">
        <v>0</v>
      </c>
      <c r="L100" s="8">
        <v>0</v>
      </c>
      <c r="M100" s="8">
        <v>0</v>
      </c>
      <c r="N100" s="8">
        <v>0</v>
      </c>
      <c r="O100" s="8">
        <v>0</v>
      </c>
      <c r="P100" s="8">
        <v>0</v>
      </c>
      <c r="Q100" s="8">
        <v>0</v>
      </c>
      <c r="R100" s="8">
        <v>0</v>
      </c>
      <c r="S100" s="8">
        <v>0</v>
      </c>
      <c r="T100" s="8">
        <v>0</v>
      </c>
      <c r="U100" s="8">
        <v>0</v>
      </c>
      <c r="V100" s="8">
        <v>0</v>
      </c>
      <c r="W100" s="1"/>
      <c r="X100" s="1"/>
      <c r="Y100" s="1"/>
      <c r="Z100" s="1"/>
      <c r="AA100" s="1"/>
      <c r="AB100" s="1"/>
      <c r="AC100" s="1"/>
      <c r="AD100" s="1"/>
      <c r="AE100" s="1"/>
      <c r="AF100" s="1"/>
    </row>
    <row r="101" spans="1:32" x14ac:dyDescent="0.25">
      <c r="A101" t="s">
        <v>391</v>
      </c>
      <c r="B101" t="s">
        <v>340</v>
      </c>
      <c r="C101" s="93" t="s">
        <v>4</v>
      </c>
      <c r="D101" s="7">
        <v>100</v>
      </c>
      <c r="E101" s="8">
        <v>0</v>
      </c>
      <c r="F101" s="8">
        <v>0</v>
      </c>
      <c r="G101" s="8">
        <v>0</v>
      </c>
      <c r="H101" s="8">
        <v>0</v>
      </c>
      <c r="I101" s="8">
        <v>0</v>
      </c>
      <c r="J101" s="8">
        <v>0</v>
      </c>
      <c r="K101" s="8">
        <v>0</v>
      </c>
      <c r="L101" s="8">
        <v>0</v>
      </c>
      <c r="M101" s="8">
        <v>0</v>
      </c>
      <c r="N101" s="8">
        <v>0</v>
      </c>
      <c r="O101" s="8">
        <v>0</v>
      </c>
      <c r="P101" s="8">
        <v>0</v>
      </c>
      <c r="Q101" s="8">
        <v>0</v>
      </c>
      <c r="R101" s="8">
        <v>0</v>
      </c>
      <c r="S101" s="8">
        <v>0</v>
      </c>
      <c r="T101" s="8">
        <v>0</v>
      </c>
      <c r="U101" s="8">
        <v>0</v>
      </c>
      <c r="V101" s="8">
        <v>0</v>
      </c>
    </row>
    <row r="102" spans="1:32" x14ac:dyDescent="0.25">
      <c r="A102" s="6" t="s">
        <v>391</v>
      </c>
      <c r="B102" t="s">
        <v>342</v>
      </c>
      <c r="C102" s="93" t="s">
        <v>4</v>
      </c>
      <c r="D102" s="7">
        <v>101</v>
      </c>
      <c r="E102" s="8">
        <v>0</v>
      </c>
      <c r="F102" s="8">
        <v>0</v>
      </c>
      <c r="G102" s="8">
        <v>0</v>
      </c>
      <c r="H102" s="8">
        <v>0</v>
      </c>
      <c r="I102" s="8">
        <v>0</v>
      </c>
      <c r="J102" s="8">
        <v>0</v>
      </c>
      <c r="K102" s="8">
        <v>0</v>
      </c>
      <c r="L102" s="8">
        <v>0</v>
      </c>
      <c r="M102" s="8">
        <v>0</v>
      </c>
      <c r="N102" s="8">
        <v>0</v>
      </c>
      <c r="O102" s="8">
        <v>0</v>
      </c>
      <c r="P102" s="8">
        <v>0</v>
      </c>
      <c r="Q102" s="8">
        <v>0</v>
      </c>
      <c r="R102" s="8">
        <v>0</v>
      </c>
      <c r="S102" s="8">
        <v>0</v>
      </c>
      <c r="T102" s="8">
        <v>0</v>
      </c>
      <c r="U102" s="8">
        <v>0</v>
      </c>
      <c r="V102" s="8">
        <v>0</v>
      </c>
    </row>
    <row r="103" spans="1:32" x14ac:dyDescent="0.25">
      <c r="A103" t="s">
        <v>132</v>
      </c>
      <c r="B103" t="s">
        <v>133</v>
      </c>
      <c r="C103" t="s">
        <v>4</v>
      </c>
      <c r="D103">
        <v>1</v>
      </c>
      <c r="E103">
        <v>102862.08202391199</v>
      </c>
      <c r="F103">
        <v>-1573.65053782</v>
      </c>
      <c r="G103">
        <v>2610.240000192</v>
      </c>
      <c r="H103">
        <v>-101.083190214</v>
      </c>
      <c r="I103">
        <v>2632.315824969</v>
      </c>
      <c r="J103">
        <v>169.703048655</v>
      </c>
      <c r="K103">
        <v>3744.2552009320002</v>
      </c>
      <c r="L103">
        <v>0</v>
      </c>
      <c r="M103">
        <v>0</v>
      </c>
      <c r="N103">
        <v>0</v>
      </c>
      <c r="O103">
        <v>0</v>
      </c>
      <c r="P103">
        <v>0</v>
      </c>
      <c r="Q103">
        <v>9.2741075249999998</v>
      </c>
      <c r="R103">
        <v>0</v>
      </c>
      <c r="S103">
        <v>-9.0265122150000003</v>
      </c>
      <c r="T103">
        <v>0</v>
      </c>
      <c r="U103">
        <v>0</v>
      </c>
      <c r="V103">
        <v>-1568.4857283480001</v>
      </c>
    </row>
    <row r="104" spans="1:32" x14ac:dyDescent="0.25">
      <c r="A104" t="s">
        <v>132</v>
      </c>
      <c r="B104" t="s">
        <v>142</v>
      </c>
      <c r="C104" t="s">
        <v>4</v>
      </c>
      <c r="D104">
        <v>10</v>
      </c>
      <c r="E104">
        <v>1198210.1813310599</v>
      </c>
      <c r="F104">
        <v>101073.50128411299</v>
      </c>
      <c r="G104">
        <v>23447.099999064001</v>
      </c>
      <c r="H104">
        <v>-334.70932153199999</v>
      </c>
      <c r="I104">
        <v>22758.702711827998</v>
      </c>
      <c r="J104">
        <v>1317.686021403</v>
      </c>
      <c r="K104">
        <v>-27805.614199349999</v>
      </c>
      <c r="L104">
        <v>70355.022043899997</v>
      </c>
      <c r="M104">
        <v>0</v>
      </c>
      <c r="N104">
        <v>5672.6788108749997</v>
      </c>
      <c r="O104">
        <v>21827.287921300001</v>
      </c>
      <c r="P104">
        <v>-1584.886996937</v>
      </c>
      <c r="Q104">
        <v>-2867.4474403230001</v>
      </c>
      <c r="R104">
        <v>2579.3942577749999</v>
      </c>
      <c r="S104">
        <v>-120.792389516</v>
      </c>
      <c r="T104">
        <v>0</v>
      </c>
      <c r="U104">
        <v>0</v>
      </c>
      <c r="V104">
        <v>5476.178615238</v>
      </c>
    </row>
    <row r="105" spans="1:32" x14ac:dyDescent="0.25">
      <c r="A105" t="s">
        <v>391</v>
      </c>
      <c r="B105" t="s">
        <v>340</v>
      </c>
      <c r="C105" t="s">
        <v>4</v>
      </c>
      <c r="D105">
        <v>100</v>
      </c>
      <c r="E105">
        <v>-2974.0333027800002</v>
      </c>
      <c r="F105">
        <v>18121.718235052998</v>
      </c>
      <c r="G105">
        <v>-32.899999907999998</v>
      </c>
      <c r="H105">
        <v>-99.758036907999994</v>
      </c>
      <c r="I105">
        <v>-117.111367943</v>
      </c>
      <c r="J105">
        <v>124.11730175700001</v>
      </c>
      <c r="K105">
        <v>289.934750479</v>
      </c>
      <c r="L105">
        <v>955.30730770000002</v>
      </c>
      <c r="M105">
        <v>0</v>
      </c>
      <c r="N105">
        <v>10910.18184445</v>
      </c>
      <c r="O105">
        <v>6921.0986695499996</v>
      </c>
      <c r="P105">
        <v>-792.37194908399999</v>
      </c>
      <c r="Q105">
        <v>-5.9025348989999999</v>
      </c>
      <c r="R105">
        <v>30.112480899000001</v>
      </c>
      <c r="S105">
        <v>-7.1668016989999996</v>
      </c>
      <c r="T105">
        <v>0</v>
      </c>
      <c r="U105">
        <v>0</v>
      </c>
      <c r="V105">
        <v>0</v>
      </c>
    </row>
    <row r="106" spans="1:32" x14ac:dyDescent="0.25">
      <c r="A106" t="s">
        <v>391</v>
      </c>
      <c r="B106" t="s">
        <v>342</v>
      </c>
      <c r="C106" t="s">
        <v>4</v>
      </c>
      <c r="D106">
        <v>101</v>
      </c>
      <c r="E106">
        <v>10715.917075134001</v>
      </c>
      <c r="F106">
        <v>12718.686661243</v>
      </c>
      <c r="G106">
        <v>136.669999776</v>
      </c>
      <c r="H106">
        <v>-378.362342738</v>
      </c>
      <c r="I106">
        <v>-413.62613723700002</v>
      </c>
      <c r="J106">
        <v>546.40111931599995</v>
      </c>
      <c r="K106">
        <v>-7946.7114717459999</v>
      </c>
      <c r="L106">
        <v>0</v>
      </c>
      <c r="M106">
        <v>0</v>
      </c>
      <c r="N106">
        <v>7076.921654625</v>
      </c>
      <c r="O106">
        <v>5805.042204075</v>
      </c>
      <c r="P106">
        <v>-172.71801330900001</v>
      </c>
      <c r="Q106">
        <v>-241.60536816300001</v>
      </c>
      <c r="R106">
        <v>297.99783994000001</v>
      </c>
      <c r="S106">
        <v>-61.686044096000003</v>
      </c>
      <c r="T106">
        <v>0</v>
      </c>
      <c r="U106">
        <v>0</v>
      </c>
      <c r="V106">
        <v>0</v>
      </c>
    </row>
    <row r="107" spans="1:32" x14ac:dyDescent="0.25">
      <c r="A107" t="s">
        <v>132</v>
      </c>
      <c r="B107" t="s">
        <v>143</v>
      </c>
      <c r="C107" t="s">
        <v>4</v>
      </c>
      <c r="D107">
        <v>11</v>
      </c>
      <c r="E107">
        <v>0</v>
      </c>
      <c r="F107">
        <v>-71555.400571685997</v>
      </c>
      <c r="G107">
        <v>0</v>
      </c>
      <c r="H107">
        <v>0</v>
      </c>
      <c r="I107">
        <v>0</v>
      </c>
      <c r="J107">
        <v>0</v>
      </c>
      <c r="K107">
        <v>0</v>
      </c>
      <c r="L107">
        <v>0</v>
      </c>
      <c r="M107">
        <v>0</v>
      </c>
      <c r="N107">
        <v>0</v>
      </c>
      <c r="O107">
        <v>0</v>
      </c>
      <c r="P107">
        <v>0</v>
      </c>
      <c r="Q107">
        <v>0</v>
      </c>
      <c r="R107">
        <v>0</v>
      </c>
      <c r="S107">
        <v>0</v>
      </c>
      <c r="T107">
        <v>0</v>
      </c>
      <c r="U107">
        <v>0</v>
      </c>
      <c r="V107">
        <v>-71555.400571685997</v>
      </c>
    </row>
    <row r="108" spans="1:32" x14ac:dyDescent="0.25">
      <c r="A108" t="s">
        <v>132</v>
      </c>
      <c r="B108" t="s">
        <v>144</v>
      </c>
      <c r="C108" t="s">
        <v>4</v>
      </c>
      <c r="D108">
        <v>12</v>
      </c>
      <c r="E108">
        <v>915418.09390440595</v>
      </c>
      <c r="F108">
        <v>-20608.647872927999</v>
      </c>
      <c r="G108">
        <v>23735.999999807998</v>
      </c>
      <c r="H108">
        <v>-1.5518345710000001</v>
      </c>
      <c r="I108">
        <v>23423.198982513</v>
      </c>
      <c r="J108">
        <v>395.45265642099997</v>
      </c>
      <c r="K108">
        <v>-13128.969932575999</v>
      </c>
      <c r="L108">
        <v>0</v>
      </c>
      <c r="M108">
        <v>0</v>
      </c>
      <c r="N108">
        <v>0</v>
      </c>
      <c r="O108">
        <v>0</v>
      </c>
      <c r="P108">
        <v>0</v>
      </c>
      <c r="Q108">
        <v>-0.38957750099999999</v>
      </c>
      <c r="R108">
        <v>0</v>
      </c>
      <c r="S108">
        <v>-109.69119669299999</v>
      </c>
      <c r="T108">
        <v>0</v>
      </c>
      <c r="U108">
        <v>0</v>
      </c>
      <c r="V108">
        <v>-20385.482839685999</v>
      </c>
    </row>
    <row r="109" spans="1:32" x14ac:dyDescent="0.25">
      <c r="A109" t="s">
        <v>132</v>
      </c>
      <c r="B109" t="s">
        <v>145</v>
      </c>
      <c r="C109" t="s">
        <v>4</v>
      </c>
      <c r="D109">
        <v>13</v>
      </c>
      <c r="E109">
        <v>831906.87958038202</v>
      </c>
      <c r="F109">
        <v>84559.894477526002</v>
      </c>
      <c r="G109">
        <v>19054.380000636</v>
      </c>
      <c r="H109">
        <v>-1068.5186029040001</v>
      </c>
      <c r="I109">
        <v>17913.378456143</v>
      </c>
      <c r="J109">
        <v>319.53191419500001</v>
      </c>
      <c r="K109">
        <v>-2865.3356042250002</v>
      </c>
      <c r="L109">
        <v>49293.050858199997</v>
      </c>
      <c r="M109">
        <v>1.8E-3</v>
      </c>
      <c r="N109">
        <v>38165.212474325002</v>
      </c>
      <c r="O109">
        <v>36893.652032575003</v>
      </c>
      <c r="P109">
        <v>-3040.8289095330001</v>
      </c>
      <c r="Q109">
        <v>-1026.04838215</v>
      </c>
      <c r="R109">
        <v>2016.100779051</v>
      </c>
      <c r="S109">
        <v>-66.449940615000003</v>
      </c>
      <c r="T109">
        <v>0</v>
      </c>
      <c r="U109">
        <v>0</v>
      </c>
      <c r="V109">
        <v>-37974.906796128002</v>
      </c>
    </row>
    <row r="110" spans="1:32" x14ac:dyDescent="0.25">
      <c r="A110" t="s">
        <v>132</v>
      </c>
      <c r="B110" t="s">
        <v>146</v>
      </c>
      <c r="C110" t="s">
        <v>4</v>
      </c>
      <c r="D110">
        <v>14</v>
      </c>
      <c r="E110">
        <v>641269.94649308198</v>
      </c>
      <c r="F110">
        <v>67886.474066726005</v>
      </c>
      <c r="G110">
        <v>13766.77000122</v>
      </c>
      <c r="H110">
        <v>-705.03464897499998</v>
      </c>
      <c r="I110">
        <v>12587.523351881</v>
      </c>
      <c r="J110">
        <v>819.56002913999998</v>
      </c>
      <c r="K110">
        <v>-21237.177334395001</v>
      </c>
      <c r="L110">
        <v>84677.788354999997</v>
      </c>
      <c r="M110">
        <v>0</v>
      </c>
      <c r="N110">
        <v>29020.079286675002</v>
      </c>
      <c r="O110">
        <v>19606.748342775001</v>
      </c>
      <c r="P110">
        <v>-31004.239676265999</v>
      </c>
      <c r="Q110">
        <v>-1977.6279289839999</v>
      </c>
      <c r="R110">
        <v>2996.6720131050001</v>
      </c>
      <c r="S110">
        <v>-117.06643365399999</v>
      </c>
      <c r="T110">
        <v>0</v>
      </c>
      <c r="U110">
        <v>0</v>
      </c>
      <c r="V110">
        <v>-35412.621767147997</v>
      </c>
    </row>
    <row r="111" spans="1:32" x14ac:dyDescent="0.25">
      <c r="A111" t="s">
        <v>132</v>
      </c>
      <c r="B111" t="s">
        <v>147</v>
      </c>
      <c r="C111" t="s">
        <v>4</v>
      </c>
      <c r="D111">
        <v>15</v>
      </c>
      <c r="E111">
        <v>163140.888730545</v>
      </c>
      <c r="F111">
        <v>-1194.7517822360001</v>
      </c>
      <c r="G111">
        <v>4397.0400008639999</v>
      </c>
      <c r="H111">
        <v>-73.093712232000001</v>
      </c>
      <c r="I111">
        <v>4189.0903999100001</v>
      </c>
      <c r="J111">
        <v>397.174856906</v>
      </c>
      <c r="K111">
        <v>-4621.8953215800002</v>
      </c>
      <c r="L111">
        <v>0</v>
      </c>
      <c r="M111">
        <v>0</v>
      </c>
      <c r="N111">
        <v>0</v>
      </c>
      <c r="O111">
        <v>0</v>
      </c>
      <c r="P111">
        <v>0</v>
      </c>
      <c r="Q111">
        <v>3.3112089139999998</v>
      </c>
      <c r="R111">
        <v>0</v>
      </c>
      <c r="S111">
        <v>-77.087247284</v>
      </c>
      <c r="T111">
        <v>0</v>
      </c>
      <c r="U111">
        <v>0</v>
      </c>
      <c r="V111">
        <v>-1039.7978641740001</v>
      </c>
    </row>
    <row r="112" spans="1:32" x14ac:dyDescent="0.25">
      <c r="A112" t="s">
        <v>132</v>
      </c>
      <c r="B112" t="s">
        <v>148</v>
      </c>
      <c r="C112" t="s">
        <v>4</v>
      </c>
      <c r="D112">
        <v>16</v>
      </c>
      <c r="E112">
        <v>13159.615354039999</v>
      </c>
      <c r="F112">
        <v>-5.267709677</v>
      </c>
      <c r="G112">
        <v>288.00000172799997</v>
      </c>
      <c r="H112">
        <v>8.8152808329999992</v>
      </c>
      <c r="I112">
        <v>324.43033991800002</v>
      </c>
      <c r="J112">
        <v>44.697349187999997</v>
      </c>
      <c r="K112">
        <v>839.65948705200003</v>
      </c>
      <c r="L112">
        <v>0</v>
      </c>
      <c r="M112">
        <v>0</v>
      </c>
      <c r="N112">
        <v>0</v>
      </c>
      <c r="O112">
        <v>0</v>
      </c>
      <c r="P112">
        <v>0</v>
      </c>
      <c r="Q112">
        <v>-0.16781466</v>
      </c>
      <c r="R112">
        <v>0</v>
      </c>
      <c r="S112">
        <v>-2.5031139320000002</v>
      </c>
      <c r="T112">
        <v>0</v>
      </c>
      <c r="U112">
        <v>0</v>
      </c>
      <c r="V112">
        <v>0</v>
      </c>
    </row>
    <row r="113" spans="1:22" x14ac:dyDescent="0.25">
      <c r="A113" t="s">
        <v>132</v>
      </c>
      <c r="B113" t="s">
        <v>149</v>
      </c>
      <c r="C113" t="s">
        <v>4</v>
      </c>
      <c r="D113">
        <v>17</v>
      </c>
      <c r="E113">
        <v>17336.787539698002</v>
      </c>
      <c r="F113">
        <v>-0.138220853</v>
      </c>
      <c r="G113">
        <v>588.719999616</v>
      </c>
      <c r="H113">
        <v>-50.900416522999997</v>
      </c>
      <c r="I113">
        <v>551.54143958999998</v>
      </c>
      <c r="J113">
        <v>13.910235939</v>
      </c>
      <c r="K113">
        <v>365.30982818899997</v>
      </c>
      <c r="L113">
        <v>0</v>
      </c>
      <c r="M113">
        <v>0</v>
      </c>
      <c r="N113">
        <v>0</v>
      </c>
      <c r="O113">
        <v>0</v>
      </c>
      <c r="P113">
        <v>0</v>
      </c>
      <c r="Q113">
        <v>-7.4326159000000003E-2</v>
      </c>
      <c r="R113">
        <v>0</v>
      </c>
      <c r="S113">
        <v>-6.2874361000000004E-2</v>
      </c>
      <c r="T113">
        <v>0</v>
      </c>
      <c r="U113">
        <v>0</v>
      </c>
      <c r="V113">
        <v>0</v>
      </c>
    </row>
    <row r="114" spans="1:22" x14ac:dyDescent="0.25">
      <c r="A114" t="s">
        <v>132</v>
      </c>
      <c r="B114" t="s">
        <v>150</v>
      </c>
      <c r="C114" t="s">
        <v>4</v>
      </c>
      <c r="D114">
        <v>18</v>
      </c>
      <c r="E114">
        <v>12780.097937312001</v>
      </c>
      <c r="F114">
        <v>-221.83846625499999</v>
      </c>
      <c r="G114">
        <v>604.76999990399997</v>
      </c>
      <c r="H114">
        <v>0.35414166800000002</v>
      </c>
      <c r="I114">
        <v>231.39048775200001</v>
      </c>
      <c r="J114">
        <v>375.26080046700002</v>
      </c>
      <c r="K114">
        <v>-11976.063974912</v>
      </c>
      <c r="L114">
        <v>0</v>
      </c>
      <c r="M114">
        <v>0</v>
      </c>
      <c r="N114">
        <v>0</v>
      </c>
      <c r="O114">
        <v>0</v>
      </c>
      <c r="P114">
        <v>0</v>
      </c>
      <c r="Q114">
        <v>0</v>
      </c>
      <c r="R114">
        <v>0</v>
      </c>
      <c r="S114">
        <v>-61.204146813000001</v>
      </c>
      <c r="T114">
        <v>0</v>
      </c>
      <c r="U114">
        <v>0</v>
      </c>
      <c r="V114">
        <v>0</v>
      </c>
    </row>
    <row r="115" spans="1:22" x14ac:dyDescent="0.25">
      <c r="A115" t="s">
        <v>132</v>
      </c>
      <c r="B115" t="s">
        <v>151</v>
      </c>
      <c r="C115" t="s">
        <v>4</v>
      </c>
      <c r="D115">
        <v>19</v>
      </c>
      <c r="E115">
        <v>80131.564760056994</v>
      </c>
      <c r="F115">
        <v>-33.754066913999999</v>
      </c>
      <c r="G115">
        <v>1926.240001632</v>
      </c>
      <c r="H115">
        <v>63.501275090999997</v>
      </c>
      <c r="I115">
        <v>1993.6466785810001</v>
      </c>
      <c r="J115">
        <v>126.782607171</v>
      </c>
      <c r="K115">
        <v>-112.867566004</v>
      </c>
      <c r="L115">
        <v>0</v>
      </c>
      <c r="M115">
        <v>0</v>
      </c>
      <c r="N115">
        <v>0</v>
      </c>
      <c r="O115">
        <v>0</v>
      </c>
      <c r="P115">
        <v>0</v>
      </c>
      <c r="Q115">
        <v>1.555806765</v>
      </c>
      <c r="R115">
        <v>0</v>
      </c>
      <c r="S115">
        <v>-17.065791166</v>
      </c>
      <c r="T115">
        <v>0</v>
      </c>
      <c r="U115">
        <v>0</v>
      </c>
      <c r="V115">
        <v>0</v>
      </c>
    </row>
    <row r="116" spans="1:22" x14ac:dyDescent="0.25">
      <c r="A116" t="s">
        <v>132</v>
      </c>
      <c r="B116" t="s">
        <v>134</v>
      </c>
      <c r="C116" t="s">
        <v>4</v>
      </c>
      <c r="D116">
        <v>2</v>
      </c>
      <c r="E116">
        <v>139801.41351126099</v>
      </c>
      <c r="F116">
        <v>-2823.4346680190001</v>
      </c>
      <c r="G116">
        <v>3553.7099997119999</v>
      </c>
      <c r="H116">
        <v>7.8740041959999996</v>
      </c>
      <c r="I116">
        <v>3591.6288763930002</v>
      </c>
      <c r="J116">
        <v>128.37710759800001</v>
      </c>
      <c r="K116">
        <v>604.26839994600005</v>
      </c>
      <c r="L116">
        <v>0</v>
      </c>
      <c r="M116">
        <v>0</v>
      </c>
      <c r="N116">
        <v>0</v>
      </c>
      <c r="O116">
        <v>0</v>
      </c>
      <c r="P116">
        <v>0</v>
      </c>
      <c r="Q116">
        <v>0.51223239600000003</v>
      </c>
      <c r="R116">
        <v>0</v>
      </c>
      <c r="S116">
        <v>3.467871057</v>
      </c>
      <c r="T116">
        <v>0</v>
      </c>
      <c r="U116">
        <v>0</v>
      </c>
      <c r="V116">
        <v>-2794.9417179359998</v>
      </c>
    </row>
    <row r="117" spans="1:22" x14ac:dyDescent="0.25">
      <c r="A117" t="s">
        <v>132</v>
      </c>
      <c r="B117" t="s">
        <v>152</v>
      </c>
      <c r="C117" t="s">
        <v>4</v>
      </c>
      <c r="D117">
        <v>20</v>
      </c>
      <c r="E117">
        <v>149402.342928014</v>
      </c>
      <c r="F117">
        <v>-74.764735967999997</v>
      </c>
      <c r="G117">
        <v>4038.2400015359999</v>
      </c>
      <c r="H117">
        <v>-74.074662669000006</v>
      </c>
      <c r="I117">
        <v>3904.6116626530002</v>
      </c>
      <c r="J117">
        <v>254.32065817700001</v>
      </c>
      <c r="K117">
        <v>-1930.4176816740001</v>
      </c>
      <c r="L117">
        <v>0</v>
      </c>
      <c r="M117">
        <v>0</v>
      </c>
      <c r="N117">
        <v>0</v>
      </c>
      <c r="O117">
        <v>0</v>
      </c>
      <c r="P117">
        <v>0</v>
      </c>
      <c r="Q117">
        <v>17.500165979999998</v>
      </c>
      <c r="R117">
        <v>0</v>
      </c>
      <c r="S117">
        <v>-43.474481875000002</v>
      </c>
      <c r="T117">
        <v>0</v>
      </c>
      <c r="U117">
        <v>0</v>
      </c>
      <c r="V117">
        <v>0</v>
      </c>
    </row>
    <row r="118" spans="1:22" x14ac:dyDescent="0.25">
      <c r="A118" t="s">
        <v>132</v>
      </c>
      <c r="B118" t="s">
        <v>153</v>
      </c>
      <c r="C118" t="s">
        <v>4</v>
      </c>
      <c r="D118">
        <v>21</v>
      </c>
      <c r="E118">
        <v>17625.916430359001</v>
      </c>
      <c r="F118">
        <v>-15.100124936</v>
      </c>
      <c r="G118">
        <v>488.159998272</v>
      </c>
      <c r="H118">
        <v>-7.5421819110000001</v>
      </c>
      <c r="I118">
        <v>459.931682787</v>
      </c>
      <c r="J118">
        <v>32.030054210000003</v>
      </c>
      <c r="K118">
        <v>-680.58525377199999</v>
      </c>
      <c r="L118">
        <v>0</v>
      </c>
      <c r="M118">
        <v>0</v>
      </c>
      <c r="N118">
        <v>0</v>
      </c>
      <c r="O118">
        <v>0</v>
      </c>
      <c r="P118">
        <v>0</v>
      </c>
      <c r="Q118">
        <v>0.304341786</v>
      </c>
      <c r="R118">
        <v>0</v>
      </c>
      <c r="S118">
        <v>-6.6590740449999997</v>
      </c>
      <c r="T118">
        <v>0</v>
      </c>
      <c r="U118">
        <v>0</v>
      </c>
      <c r="V118">
        <v>0</v>
      </c>
    </row>
    <row r="119" spans="1:22" x14ac:dyDescent="0.25">
      <c r="A119" t="s">
        <v>154</v>
      </c>
      <c r="B119" t="s">
        <v>155</v>
      </c>
      <c r="C119" t="s">
        <v>4</v>
      </c>
      <c r="D119">
        <v>22</v>
      </c>
      <c r="E119">
        <v>23934.820318534999</v>
      </c>
      <c r="F119">
        <v>-1487.3930126610001</v>
      </c>
      <c r="G119">
        <v>312.63999966</v>
      </c>
      <c r="H119">
        <v>126.519166633</v>
      </c>
      <c r="I119">
        <v>594.24118954200003</v>
      </c>
      <c r="J119">
        <v>205.020712143</v>
      </c>
      <c r="K119">
        <v>7944.7711157439999</v>
      </c>
      <c r="L119">
        <v>0</v>
      </c>
      <c r="M119">
        <v>0</v>
      </c>
      <c r="N119">
        <v>0</v>
      </c>
      <c r="O119">
        <v>0</v>
      </c>
      <c r="P119">
        <v>0</v>
      </c>
      <c r="Q119">
        <v>0</v>
      </c>
      <c r="R119">
        <v>0</v>
      </c>
      <c r="S119">
        <v>-9.9908055820000001</v>
      </c>
      <c r="T119">
        <v>0</v>
      </c>
      <c r="U119">
        <v>0</v>
      </c>
      <c r="V119">
        <v>-1473.835724562</v>
      </c>
    </row>
    <row r="120" spans="1:22" x14ac:dyDescent="0.25">
      <c r="A120" t="s">
        <v>154</v>
      </c>
      <c r="B120" t="s">
        <v>156</v>
      </c>
      <c r="C120" t="s">
        <v>4</v>
      </c>
      <c r="D120">
        <v>23</v>
      </c>
      <c r="E120">
        <v>490252.30956645001</v>
      </c>
      <c r="F120">
        <v>52351.187309296998</v>
      </c>
      <c r="G120">
        <v>10987.580000051999</v>
      </c>
      <c r="H120">
        <v>-324.35535932400001</v>
      </c>
      <c r="I120">
        <v>10601.51247206</v>
      </c>
      <c r="J120">
        <v>978.54867368199996</v>
      </c>
      <c r="K120">
        <v>-6205.9547360850001</v>
      </c>
      <c r="L120">
        <v>108647.30378640001</v>
      </c>
      <c r="M120">
        <v>0</v>
      </c>
      <c r="N120">
        <v>0</v>
      </c>
      <c r="O120">
        <v>0</v>
      </c>
      <c r="P120">
        <v>-25827.911950352998</v>
      </c>
      <c r="Q120">
        <v>-600.24566654700004</v>
      </c>
      <c r="R120">
        <v>613.283478059</v>
      </c>
      <c r="S120">
        <v>-126.699022254</v>
      </c>
      <c r="T120">
        <v>0</v>
      </c>
      <c r="U120">
        <v>0</v>
      </c>
      <c r="V120">
        <v>-30147.3773592</v>
      </c>
    </row>
    <row r="121" spans="1:22" x14ac:dyDescent="0.25">
      <c r="A121" t="s">
        <v>154</v>
      </c>
      <c r="B121" t="s">
        <v>157</v>
      </c>
      <c r="C121" t="s">
        <v>4</v>
      </c>
      <c r="D121">
        <v>24</v>
      </c>
      <c r="E121">
        <v>115040.220606121</v>
      </c>
      <c r="F121">
        <v>-8223.9285905420002</v>
      </c>
      <c r="G121">
        <v>1834.0000000560001</v>
      </c>
      <c r="H121">
        <v>-323.39104314899998</v>
      </c>
      <c r="I121">
        <v>1472.9705009710001</v>
      </c>
      <c r="J121">
        <v>389.60937497100002</v>
      </c>
      <c r="K121">
        <v>-791.849429966</v>
      </c>
      <c r="L121">
        <v>0</v>
      </c>
      <c r="M121">
        <v>0</v>
      </c>
      <c r="N121">
        <v>0</v>
      </c>
      <c r="O121">
        <v>0</v>
      </c>
      <c r="P121">
        <v>0</v>
      </c>
      <c r="Q121">
        <v>236.901285027</v>
      </c>
      <c r="R121">
        <v>0</v>
      </c>
      <c r="S121">
        <v>-77.924251995999995</v>
      </c>
      <c r="T121">
        <v>0</v>
      </c>
      <c r="U121">
        <v>0</v>
      </c>
      <c r="V121">
        <v>-8326.7416214759996</v>
      </c>
    </row>
    <row r="122" spans="1:22" x14ac:dyDescent="0.25">
      <c r="A122" t="s">
        <v>154</v>
      </c>
      <c r="B122" t="s">
        <v>158</v>
      </c>
      <c r="C122" t="s">
        <v>4</v>
      </c>
      <c r="D122">
        <v>25</v>
      </c>
      <c r="E122">
        <v>445982.272772661</v>
      </c>
      <c r="F122">
        <v>-7819.3338722589997</v>
      </c>
      <c r="G122">
        <v>9248.4999991080003</v>
      </c>
      <c r="H122">
        <v>121.498195653</v>
      </c>
      <c r="I122">
        <v>9418.4053799520007</v>
      </c>
      <c r="J122">
        <v>814.56913615099995</v>
      </c>
      <c r="K122">
        <v>-1239.9025866740001</v>
      </c>
      <c r="L122">
        <v>0</v>
      </c>
      <c r="M122">
        <v>0</v>
      </c>
      <c r="N122">
        <v>0</v>
      </c>
      <c r="O122">
        <v>0</v>
      </c>
      <c r="P122">
        <v>0</v>
      </c>
      <c r="Q122">
        <v>-537.78249882</v>
      </c>
      <c r="R122">
        <v>0</v>
      </c>
      <c r="S122">
        <v>-38.291816804</v>
      </c>
      <c r="T122">
        <v>0</v>
      </c>
      <c r="U122">
        <v>0</v>
      </c>
      <c r="V122">
        <v>-7031.1429133920001</v>
      </c>
    </row>
    <row r="123" spans="1:22" x14ac:dyDescent="0.25">
      <c r="A123" t="s">
        <v>154</v>
      </c>
      <c r="B123" t="s">
        <v>159</v>
      </c>
      <c r="C123" t="s">
        <v>4</v>
      </c>
      <c r="D123">
        <v>26</v>
      </c>
      <c r="E123">
        <v>2550286.8541328101</v>
      </c>
      <c r="F123">
        <v>-29412.593619055999</v>
      </c>
      <c r="G123">
        <v>63045.399999816</v>
      </c>
      <c r="H123">
        <v>-116.66145876900001</v>
      </c>
      <c r="I123">
        <v>62971.899986933</v>
      </c>
      <c r="J123">
        <v>1083.9683026360001</v>
      </c>
      <c r="K123">
        <v>-2832.9250350259999</v>
      </c>
      <c r="L123">
        <v>0</v>
      </c>
      <c r="M123">
        <v>0</v>
      </c>
      <c r="N123">
        <v>0</v>
      </c>
      <c r="O123">
        <v>0</v>
      </c>
      <c r="P123">
        <v>0</v>
      </c>
      <c r="Q123">
        <v>-2108.2391589469999</v>
      </c>
      <c r="R123">
        <v>0</v>
      </c>
      <c r="S123">
        <v>-180.61224175000001</v>
      </c>
      <c r="T123">
        <v>0</v>
      </c>
      <c r="U123">
        <v>0</v>
      </c>
      <c r="V123">
        <v>-26984.084203181999</v>
      </c>
    </row>
    <row r="124" spans="1:22" x14ac:dyDescent="0.25">
      <c r="A124" t="s">
        <v>154</v>
      </c>
      <c r="B124" t="s">
        <v>160</v>
      </c>
      <c r="C124" t="s">
        <v>4</v>
      </c>
      <c r="D124">
        <v>27</v>
      </c>
      <c r="E124">
        <v>-144.60451764699999</v>
      </c>
      <c r="F124">
        <v>-2.3078830410000002</v>
      </c>
      <c r="G124">
        <v>0</v>
      </c>
      <c r="H124">
        <v>0</v>
      </c>
      <c r="I124">
        <v>-3.8982000000000001</v>
      </c>
      <c r="J124">
        <v>3.8982000000000001</v>
      </c>
      <c r="K124">
        <v>-144.60451764699999</v>
      </c>
      <c r="L124">
        <v>0</v>
      </c>
      <c r="M124">
        <v>0</v>
      </c>
      <c r="N124">
        <v>0</v>
      </c>
      <c r="O124">
        <v>0</v>
      </c>
      <c r="P124">
        <v>0</v>
      </c>
      <c r="Q124">
        <v>0</v>
      </c>
      <c r="R124">
        <v>0</v>
      </c>
      <c r="S124">
        <v>-0.90519848700000005</v>
      </c>
      <c r="T124">
        <v>0</v>
      </c>
      <c r="U124">
        <v>0</v>
      </c>
      <c r="V124">
        <v>0</v>
      </c>
    </row>
    <row r="125" spans="1:22" x14ac:dyDescent="0.25">
      <c r="A125" t="s">
        <v>154</v>
      </c>
      <c r="B125" t="s">
        <v>161</v>
      </c>
      <c r="C125" t="s">
        <v>4</v>
      </c>
      <c r="D125">
        <v>28</v>
      </c>
      <c r="E125">
        <v>2039195.27254295</v>
      </c>
      <c r="F125">
        <v>-21326.424666628001</v>
      </c>
      <c r="G125">
        <v>49695.500000220003</v>
      </c>
      <c r="H125">
        <v>-205.516547245</v>
      </c>
      <c r="I125">
        <v>49424.590026414997</v>
      </c>
      <c r="J125">
        <v>896.20514729399997</v>
      </c>
      <c r="K125">
        <v>-6132.3575825859998</v>
      </c>
      <c r="L125">
        <v>0</v>
      </c>
      <c r="M125">
        <v>0</v>
      </c>
      <c r="N125">
        <v>0</v>
      </c>
      <c r="O125">
        <v>0</v>
      </c>
      <c r="P125">
        <v>0</v>
      </c>
      <c r="Q125">
        <v>-1165.71078893</v>
      </c>
      <c r="R125">
        <v>0</v>
      </c>
      <c r="S125">
        <v>-48.630081013000002</v>
      </c>
      <c r="T125">
        <v>0</v>
      </c>
      <c r="U125">
        <v>0</v>
      </c>
      <c r="V125">
        <v>-19875.779013089999</v>
      </c>
    </row>
    <row r="126" spans="1:22" x14ac:dyDescent="0.25">
      <c r="A126" t="s">
        <v>154</v>
      </c>
      <c r="B126" t="s">
        <v>162</v>
      </c>
      <c r="C126" t="s">
        <v>4</v>
      </c>
      <c r="D126">
        <v>29</v>
      </c>
      <c r="E126">
        <v>0</v>
      </c>
      <c r="F126">
        <v>0</v>
      </c>
      <c r="G126">
        <v>0</v>
      </c>
      <c r="H126">
        <v>0</v>
      </c>
      <c r="I126">
        <v>0</v>
      </c>
      <c r="J126">
        <v>0</v>
      </c>
      <c r="K126">
        <v>0</v>
      </c>
      <c r="L126">
        <v>0</v>
      </c>
      <c r="M126">
        <v>0</v>
      </c>
      <c r="N126">
        <v>0</v>
      </c>
      <c r="O126">
        <v>0</v>
      </c>
      <c r="P126">
        <v>0</v>
      </c>
      <c r="Q126">
        <v>0</v>
      </c>
      <c r="R126">
        <v>0</v>
      </c>
      <c r="S126">
        <v>0</v>
      </c>
      <c r="T126">
        <v>0</v>
      </c>
      <c r="U126">
        <v>0</v>
      </c>
      <c r="V126">
        <v>0</v>
      </c>
    </row>
    <row r="127" spans="1:22" x14ac:dyDescent="0.25">
      <c r="A127" t="s">
        <v>132</v>
      </c>
      <c r="B127" t="s">
        <v>135</v>
      </c>
      <c r="C127" t="s">
        <v>4</v>
      </c>
      <c r="D127">
        <v>3</v>
      </c>
      <c r="E127">
        <v>687309.89238657698</v>
      </c>
      <c r="F127">
        <v>-5279.1615364930003</v>
      </c>
      <c r="G127">
        <v>15890.600000484001</v>
      </c>
      <c r="H127">
        <v>-92.202678675000001</v>
      </c>
      <c r="I127">
        <v>16006.158980816999</v>
      </c>
      <c r="J127">
        <v>336.39386880799998</v>
      </c>
      <c r="K127">
        <v>11243.356050861001</v>
      </c>
      <c r="L127">
        <v>0</v>
      </c>
      <c r="M127">
        <v>0</v>
      </c>
      <c r="N127">
        <v>0</v>
      </c>
      <c r="O127">
        <v>0</v>
      </c>
      <c r="P127">
        <v>0</v>
      </c>
      <c r="Q127">
        <v>-379.09391417400002</v>
      </c>
      <c r="R127">
        <v>0</v>
      </c>
      <c r="S127">
        <v>-31.849491045000001</v>
      </c>
      <c r="T127">
        <v>0</v>
      </c>
      <c r="U127">
        <v>0</v>
      </c>
      <c r="V127">
        <v>-4859.6009152979996</v>
      </c>
    </row>
    <row r="128" spans="1:22" x14ac:dyDescent="0.25">
      <c r="A128" t="s">
        <v>154</v>
      </c>
      <c r="B128" t="s">
        <v>163</v>
      </c>
      <c r="C128" t="s">
        <v>4</v>
      </c>
      <c r="D128">
        <v>30</v>
      </c>
      <c r="E128">
        <v>0</v>
      </c>
      <c r="F128">
        <v>0</v>
      </c>
      <c r="G128">
        <v>0</v>
      </c>
      <c r="H128">
        <v>0</v>
      </c>
      <c r="I128">
        <v>0</v>
      </c>
      <c r="J128">
        <v>0</v>
      </c>
      <c r="K128">
        <v>0</v>
      </c>
      <c r="L128">
        <v>0</v>
      </c>
      <c r="M128">
        <v>0</v>
      </c>
      <c r="N128">
        <v>0</v>
      </c>
      <c r="O128">
        <v>0</v>
      </c>
      <c r="P128">
        <v>0</v>
      </c>
      <c r="Q128">
        <v>0</v>
      </c>
      <c r="R128">
        <v>0</v>
      </c>
      <c r="S128">
        <v>0</v>
      </c>
      <c r="T128">
        <v>0</v>
      </c>
      <c r="U128">
        <v>0</v>
      </c>
      <c r="V128">
        <v>0</v>
      </c>
    </row>
    <row r="129" spans="1:22" x14ac:dyDescent="0.25">
      <c r="A129" t="s">
        <v>154</v>
      </c>
      <c r="B129" t="s">
        <v>164</v>
      </c>
      <c r="C129" t="s">
        <v>4</v>
      </c>
      <c r="D129">
        <v>31</v>
      </c>
      <c r="E129">
        <v>654972.02753050602</v>
      </c>
      <c r="F129">
        <v>54395.324390884001</v>
      </c>
      <c r="G129">
        <v>10725.469999512001</v>
      </c>
      <c r="H129">
        <v>-381.08048157500002</v>
      </c>
      <c r="I129">
        <v>10157.152339622</v>
      </c>
      <c r="J129">
        <v>633.20122577200004</v>
      </c>
      <c r="K129">
        <v>-9003.5070470610008</v>
      </c>
      <c r="L129">
        <v>37344.051082099999</v>
      </c>
      <c r="M129">
        <v>1.36</v>
      </c>
      <c r="N129">
        <v>2220.5509084999999</v>
      </c>
      <c r="O129">
        <v>14496.419714600001</v>
      </c>
      <c r="P129">
        <v>-6416.4676926399998</v>
      </c>
      <c r="Q129">
        <v>952.40317114599998</v>
      </c>
      <c r="R129">
        <v>6001.6337582550004</v>
      </c>
      <c r="S129">
        <v>-148.94228927200001</v>
      </c>
      <c r="T129">
        <v>0</v>
      </c>
      <c r="U129">
        <v>0</v>
      </c>
      <c r="V129">
        <v>0</v>
      </c>
    </row>
    <row r="130" spans="1:22" x14ac:dyDescent="0.25">
      <c r="A130" t="s">
        <v>154</v>
      </c>
      <c r="B130" t="s">
        <v>165</v>
      </c>
      <c r="C130" t="s">
        <v>4</v>
      </c>
      <c r="D130">
        <v>32</v>
      </c>
      <c r="E130">
        <v>907991.46013022296</v>
      </c>
      <c r="F130">
        <v>-9066.7329672119995</v>
      </c>
      <c r="G130">
        <v>21726.500001492001</v>
      </c>
      <c r="H130">
        <v>-433.26306896</v>
      </c>
      <c r="I130">
        <v>21246.344391815001</v>
      </c>
      <c r="J130">
        <v>366.76106441000002</v>
      </c>
      <c r="K130">
        <v>-4369.688655125</v>
      </c>
      <c r="L130">
        <v>0</v>
      </c>
      <c r="M130">
        <v>0</v>
      </c>
      <c r="N130">
        <v>0</v>
      </c>
      <c r="O130">
        <v>0</v>
      </c>
      <c r="P130">
        <v>0</v>
      </c>
      <c r="Q130">
        <v>-390.32372277000002</v>
      </c>
      <c r="R130">
        <v>0</v>
      </c>
      <c r="S130">
        <v>-45.460271149999997</v>
      </c>
      <c r="T130">
        <v>0</v>
      </c>
      <c r="U130">
        <v>0</v>
      </c>
      <c r="V130">
        <v>-8560.3263688259995</v>
      </c>
    </row>
    <row r="131" spans="1:22" x14ac:dyDescent="0.25">
      <c r="A131" t="s">
        <v>154</v>
      </c>
      <c r="B131" t="s">
        <v>166</v>
      </c>
      <c r="C131" t="s">
        <v>4</v>
      </c>
      <c r="D131">
        <v>33</v>
      </c>
      <c r="E131">
        <v>802360.34280026902</v>
      </c>
      <c r="F131">
        <v>-9784.4952164349997</v>
      </c>
      <c r="G131">
        <v>17539.500001008</v>
      </c>
      <c r="H131">
        <v>-429.53896329200001</v>
      </c>
      <c r="I131">
        <v>16892.709106742001</v>
      </c>
      <c r="J131">
        <v>681.03643219399999</v>
      </c>
      <c r="K131">
        <v>-12082.893471261999</v>
      </c>
      <c r="L131">
        <v>0</v>
      </c>
      <c r="M131">
        <v>0</v>
      </c>
      <c r="N131">
        <v>0</v>
      </c>
      <c r="O131">
        <v>0</v>
      </c>
      <c r="P131">
        <v>0</v>
      </c>
      <c r="Q131">
        <v>-997.68198527699997</v>
      </c>
      <c r="R131">
        <v>0</v>
      </c>
      <c r="S131">
        <v>-145.29997951000001</v>
      </c>
      <c r="T131">
        <v>0</v>
      </c>
      <c r="U131">
        <v>0</v>
      </c>
      <c r="V131">
        <v>-8525.7115008660003</v>
      </c>
    </row>
    <row r="132" spans="1:22" x14ac:dyDescent="0.25">
      <c r="A132" t="s">
        <v>154</v>
      </c>
      <c r="B132" t="s">
        <v>167</v>
      </c>
      <c r="C132" t="s">
        <v>4</v>
      </c>
      <c r="D132">
        <v>34</v>
      </c>
      <c r="E132">
        <v>921965.52842598595</v>
      </c>
      <c r="F132">
        <v>-11380.814637408001</v>
      </c>
      <c r="G132">
        <v>21857.000001516</v>
      </c>
      <c r="H132">
        <v>-106.98082013699999</v>
      </c>
      <c r="I132">
        <v>21402.650881004</v>
      </c>
      <c r="J132">
        <v>707.45388467700002</v>
      </c>
      <c r="K132">
        <v>-14691.453713514</v>
      </c>
      <c r="L132">
        <v>0</v>
      </c>
      <c r="M132">
        <v>0</v>
      </c>
      <c r="N132">
        <v>0</v>
      </c>
      <c r="O132">
        <v>0</v>
      </c>
      <c r="P132">
        <v>0</v>
      </c>
      <c r="Q132">
        <v>-619.130166175</v>
      </c>
      <c r="R132">
        <v>0</v>
      </c>
      <c r="S132">
        <v>-181.12829314699999</v>
      </c>
      <c r="T132">
        <v>0</v>
      </c>
      <c r="U132">
        <v>0</v>
      </c>
      <c r="V132">
        <v>-10450.261522319999</v>
      </c>
    </row>
    <row r="133" spans="1:22" x14ac:dyDescent="0.25">
      <c r="A133" t="s">
        <v>154</v>
      </c>
      <c r="B133" t="s">
        <v>168</v>
      </c>
      <c r="C133" t="s">
        <v>4</v>
      </c>
      <c r="D133">
        <v>35</v>
      </c>
      <c r="E133">
        <v>29879.050869581999</v>
      </c>
      <c r="F133">
        <v>-167.77616050099999</v>
      </c>
      <c r="G133">
        <v>1042.77999948</v>
      </c>
      <c r="H133">
        <v>-138.19798857800001</v>
      </c>
      <c r="I133">
        <v>642.69973660100004</v>
      </c>
      <c r="J133">
        <v>302.88651224699998</v>
      </c>
      <c r="K133">
        <v>-15128.467783571999</v>
      </c>
      <c r="L133">
        <v>0</v>
      </c>
      <c r="M133">
        <v>0</v>
      </c>
      <c r="N133">
        <v>0</v>
      </c>
      <c r="O133">
        <v>0</v>
      </c>
      <c r="P133">
        <v>0</v>
      </c>
      <c r="Q133">
        <v>-7.5927963000000001E-2</v>
      </c>
      <c r="R133">
        <v>0</v>
      </c>
      <c r="S133">
        <v>-8.0136645360000003</v>
      </c>
      <c r="T133">
        <v>0</v>
      </c>
      <c r="U133">
        <v>0</v>
      </c>
      <c r="V133">
        <v>0</v>
      </c>
    </row>
    <row r="134" spans="1:22" x14ac:dyDescent="0.25">
      <c r="A134" t="s">
        <v>154</v>
      </c>
      <c r="B134" t="s">
        <v>169</v>
      </c>
      <c r="C134" t="s">
        <v>4</v>
      </c>
      <c r="D134">
        <v>36</v>
      </c>
      <c r="E134">
        <v>-132.66696414800001</v>
      </c>
      <c r="F134">
        <v>-2.1324844619999999</v>
      </c>
      <c r="G134">
        <v>0</v>
      </c>
      <c r="H134">
        <v>0</v>
      </c>
      <c r="I134">
        <v>-3.6272250000000001</v>
      </c>
      <c r="J134">
        <v>3.6272250000000001</v>
      </c>
      <c r="K134">
        <v>-132.66696414800001</v>
      </c>
      <c r="L134">
        <v>0</v>
      </c>
      <c r="M134">
        <v>0</v>
      </c>
      <c r="N134">
        <v>0</v>
      </c>
      <c r="O134">
        <v>0</v>
      </c>
      <c r="P134">
        <v>0</v>
      </c>
      <c r="Q134">
        <v>0</v>
      </c>
      <c r="R134">
        <v>0</v>
      </c>
      <c r="S134">
        <v>-0.78173357899999996</v>
      </c>
      <c r="T134">
        <v>0</v>
      </c>
      <c r="U134">
        <v>0</v>
      </c>
      <c r="V134">
        <v>0</v>
      </c>
    </row>
    <row r="135" spans="1:22" x14ac:dyDescent="0.25">
      <c r="A135" t="s">
        <v>154</v>
      </c>
      <c r="B135" t="s">
        <v>170</v>
      </c>
      <c r="C135" t="s">
        <v>4</v>
      </c>
      <c r="D135">
        <v>37</v>
      </c>
      <c r="E135">
        <v>0</v>
      </c>
      <c r="F135">
        <v>0</v>
      </c>
      <c r="G135">
        <v>0</v>
      </c>
      <c r="H135">
        <v>0</v>
      </c>
      <c r="I135">
        <v>0</v>
      </c>
      <c r="J135">
        <v>0</v>
      </c>
      <c r="K135">
        <v>0</v>
      </c>
      <c r="L135">
        <v>0</v>
      </c>
      <c r="M135">
        <v>0</v>
      </c>
      <c r="N135">
        <v>0</v>
      </c>
      <c r="O135">
        <v>0</v>
      </c>
      <c r="P135">
        <v>0</v>
      </c>
      <c r="Q135">
        <v>0</v>
      </c>
      <c r="R135">
        <v>0</v>
      </c>
      <c r="S135">
        <v>0</v>
      </c>
      <c r="T135">
        <v>0</v>
      </c>
      <c r="U135">
        <v>0</v>
      </c>
      <c r="V135">
        <v>0</v>
      </c>
    </row>
    <row r="136" spans="1:22" x14ac:dyDescent="0.25">
      <c r="A136" t="s">
        <v>154</v>
      </c>
      <c r="B136" t="s">
        <v>172</v>
      </c>
      <c r="C136" t="s">
        <v>4</v>
      </c>
      <c r="D136">
        <v>39</v>
      </c>
      <c r="E136">
        <v>22158.14985437</v>
      </c>
      <c r="F136">
        <v>-14.993116797000001</v>
      </c>
      <c r="G136">
        <v>540.11999932799995</v>
      </c>
      <c r="H136">
        <v>-10.792791539</v>
      </c>
      <c r="I136">
        <v>563.43419458699998</v>
      </c>
      <c r="J136">
        <v>84.727161142</v>
      </c>
      <c r="K136">
        <v>1004.706550333</v>
      </c>
      <c r="L136">
        <v>0</v>
      </c>
      <c r="M136">
        <v>0</v>
      </c>
      <c r="N136">
        <v>0</v>
      </c>
      <c r="O136">
        <v>0</v>
      </c>
      <c r="P136">
        <v>0</v>
      </c>
      <c r="Q136">
        <v>0.181564908</v>
      </c>
      <c r="R136">
        <v>0</v>
      </c>
      <c r="S136">
        <v>-9.9654512349999997</v>
      </c>
      <c r="T136">
        <v>0</v>
      </c>
      <c r="U136">
        <v>0</v>
      </c>
      <c r="V136">
        <v>0</v>
      </c>
    </row>
    <row r="137" spans="1:22" x14ac:dyDescent="0.25">
      <c r="A137" t="s">
        <v>132</v>
      </c>
      <c r="B137" t="s">
        <v>136</v>
      </c>
      <c r="C137" t="s">
        <v>4</v>
      </c>
      <c r="D137">
        <v>4</v>
      </c>
      <c r="E137">
        <v>5157.1031509439999</v>
      </c>
      <c r="F137">
        <v>-0.34209301399999997</v>
      </c>
      <c r="G137">
        <v>190.20000002399999</v>
      </c>
      <c r="H137">
        <v>-0.17874999799999999</v>
      </c>
      <c r="I137">
        <v>197.86758541699999</v>
      </c>
      <c r="J137">
        <v>9.5692430510000008</v>
      </c>
      <c r="K137">
        <v>187.56308663300001</v>
      </c>
      <c r="L137">
        <v>0</v>
      </c>
      <c r="M137">
        <v>0</v>
      </c>
      <c r="N137">
        <v>0</v>
      </c>
      <c r="O137">
        <v>0</v>
      </c>
      <c r="P137">
        <v>0</v>
      </c>
      <c r="Q137">
        <v>0</v>
      </c>
      <c r="R137">
        <v>0</v>
      </c>
      <c r="S137">
        <v>-0.34208871200000002</v>
      </c>
      <c r="T137">
        <v>0</v>
      </c>
      <c r="U137">
        <v>0</v>
      </c>
      <c r="V137">
        <v>0</v>
      </c>
    </row>
    <row r="138" spans="1:22" x14ac:dyDescent="0.25">
      <c r="A138" t="s">
        <v>173</v>
      </c>
      <c r="B138" t="s">
        <v>174</v>
      </c>
      <c r="C138" t="s">
        <v>4</v>
      </c>
      <c r="D138">
        <v>40</v>
      </c>
      <c r="E138">
        <v>-544.49091832099998</v>
      </c>
      <c r="F138">
        <v>-8.8055647459999999</v>
      </c>
      <c r="G138">
        <v>0</v>
      </c>
      <c r="H138">
        <v>0</v>
      </c>
      <c r="I138">
        <v>-14.72875</v>
      </c>
      <c r="J138">
        <v>14.72875</v>
      </c>
      <c r="K138">
        <v>-544.49091832099998</v>
      </c>
      <c r="L138">
        <v>0</v>
      </c>
      <c r="M138">
        <v>0</v>
      </c>
      <c r="N138">
        <v>0</v>
      </c>
      <c r="O138">
        <v>0</v>
      </c>
      <c r="P138">
        <v>0</v>
      </c>
      <c r="Q138">
        <v>0</v>
      </c>
      <c r="R138">
        <v>0</v>
      </c>
      <c r="S138">
        <v>-3.671978915</v>
      </c>
      <c r="T138">
        <v>0</v>
      </c>
      <c r="U138">
        <v>0</v>
      </c>
      <c r="V138">
        <v>0</v>
      </c>
    </row>
    <row r="139" spans="1:22" x14ac:dyDescent="0.25">
      <c r="A139" t="s">
        <v>173</v>
      </c>
      <c r="B139" t="s">
        <v>175</v>
      </c>
      <c r="C139" t="s">
        <v>4</v>
      </c>
      <c r="D139">
        <v>41</v>
      </c>
      <c r="E139">
        <v>77763.155476658998</v>
      </c>
      <c r="F139">
        <v>-111.550908932</v>
      </c>
      <c r="G139">
        <v>1958.200000068</v>
      </c>
      <c r="H139">
        <v>147.115666683</v>
      </c>
      <c r="I139">
        <v>2033.7138804409999</v>
      </c>
      <c r="J139">
        <v>309.73733875400001</v>
      </c>
      <c r="K139">
        <v>-3259.3898497579999</v>
      </c>
      <c r="L139">
        <v>0</v>
      </c>
      <c r="M139">
        <v>0</v>
      </c>
      <c r="N139">
        <v>0</v>
      </c>
      <c r="O139">
        <v>0</v>
      </c>
      <c r="P139">
        <v>0</v>
      </c>
      <c r="Q139">
        <v>0.98152724999999996</v>
      </c>
      <c r="R139">
        <v>0</v>
      </c>
      <c r="S139">
        <v>-57.160760355000001</v>
      </c>
      <c r="T139">
        <v>0</v>
      </c>
      <c r="U139">
        <v>0</v>
      </c>
      <c r="V139">
        <v>0</v>
      </c>
    </row>
    <row r="140" spans="1:22" x14ac:dyDescent="0.25">
      <c r="A140" t="s">
        <v>173</v>
      </c>
      <c r="B140" t="s">
        <v>176</v>
      </c>
      <c r="C140" t="s">
        <v>4</v>
      </c>
      <c r="D140">
        <v>42</v>
      </c>
      <c r="E140">
        <v>141675.16323250101</v>
      </c>
      <c r="F140">
        <v>-43.487972800999998</v>
      </c>
      <c r="G140">
        <v>3489.4400016</v>
      </c>
      <c r="H140">
        <v>12.863209796</v>
      </c>
      <c r="I140">
        <v>3593.9060440080002</v>
      </c>
      <c r="J140">
        <v>270.55644866599999</v>
      </c>
      <c r="K140">
        <v>4975.7781990940002</v>
      </c>
      <c r="L140">
        <v>0</v>
      </c>
      <c r="M140">
        <v>0</v>
      </c>
      <c r="N140">
        <v>0</v>
      </c>
      <c r="O140">
        <v>0</v>
      </c>
      <c r="P140">
        <v>0</v>
      </c>
      <c r="Q140">
        <v>-0.87554843900000001</v>
      </c>
      <c r="R140">
        <v>0</v>
      </c>
      <c r="S140">
        <v>3.1357292750000001</v>
      </c>
      <c r="T140">
        <v>0</v>
      </c>
      <c r="U140">
        <v>0</v>
      </c>
      <c r="V140">
        <v>0</v>
      </c>
    </row>
    <row r="141" spans="1:22" x14ac:dyDescent="0.25">
      <c r="A141" t="s">
        <v>173</v>
      </c>
      <c r="B141" t="s">
        <v>177</v>
      </c>
      <c r="C141" t="s">
        <v>4</v>
      </c>
      <c r="D141">
        <v>43</v>
      </c>
      <c r="E141">
        <v>77586.132577889002</v>
      </c>
      <c r="F141">
        <v>-870.86991743399994</v>
      </c>
      <c r="G141">
        <v>2309.7600011519999</v>
      </c>
      <c r="H141">
        <v>-78.545774953999995</v>
      </c>
      <c r="I141">
        <v>2039.9929044339999</v>
      </c>
      <c r="J141">
        <v>405.12632367600003</v>
      </c>
      <c r="K141">
        <v>-6346.8193912300003</v>
      </c>
      <c r="L141">
        <v>0</v>
      </c>
      <c r="M141">
        <v>0</v>
      </c>
      <c r="N141">
        <v>0</v>
      </c>
      <c r="O141">
        <v>0</v>
      </c>
      <c r="P141">
        <v>0</v>
      </c>
      <c r="Q141">
        <v>0.456844847</v>
      </c>
      <c r="R141">
        <v>0</v>
      </c>
      <c r="S141">
        <v>-87.480631162999998</v>
      </c>
      <c r="T141">
        <v>0</v>
      </c>
      <c r="U141">
        <v>0</v>
      </c>
      <c r="V141">
        <v>-693.19857485399996</v>
      </c>
    </row>
    <row r="142" spans="1:22" x14ac:dyDescent="0.25">
      <c r="A142" t="s">
        <v>173</v>
      </c>
      <c r="B142" t="s">
        <v>178</v>
      </c>
      <c r="C142" t="s">
        <v>4</v>
      </c>
      <c r="D142">
        <v>44</v>
      </c>
      <c r="E142">
        <v>277999.23639626498</v>
      </c>
      <c r="F142">
        <v>-14155.977646064001</v>
      </c>
      <c r="G142">
        <v>4972.4999991960003</v>
      </c>
      <c r="H142">
        <v>-107.354384504</v>
      </c>
      <c r="I142">
        <v>4929.7464362580004</v>
      </c>
      <c r="J142">
        <v>412.100552397</v>
      </c>
      <c r="K142">
        <v>8704.1854272210003</v>
      </c>
      <c r="L142">
        <v>0</v>
      </c>
      <c r="M142">
        <v>0</v>
      </c>
      <c r="N142">
        <v>0</v>
      </c>
      <c r="O142">
        <v>0</v>
      </c>
      <c r="P142">
        <v>0</v>
      </c>
      <c r="Q142">
        <v>-424.90618164599999</v>
      </c>
      <c r="R142">
        <v>0</v>
      </c>
      <c r="S142">
        <v>-28.810531317999999</v>
      </c>
      <c r="T142">
        <v>0</v>
      </c>
      <c r="U142">
        <v>0</v>
      </c>
      <c r="V142">
        <v>-13645.387275474</v>
      </c>
    </row>
    <row r="143" spans="1:22" x14ac:dyDescent="0.25">
      <c r="A143" t="s">
        <v>173</v>
      </c>
      <c r="B143" t="s">
        <v>179</v>
      </c>
      <c r="C143" t="s">
        <v>4</v>
      </c>
      <c r="D143">
        <v>45</v>
      </c>
      <c r="E143">
        <v>315339.70209113898</v>
      </c>
      <c r="F143">
        <v>-14728.248426439999</v>
      </c>
      <c r="G143">
        <v>5736.1999993079999</v>
      </c>
      <c r="H143">
        <v>43.126745122999999</v>
      </c>
      <c r="I143">
        <v>5676.4897773169996</v>
      </c>
      <c r="J143">
        <v>579.59430844999997</v>
      </c>
      <c r="K143">
        <v>-39.939572998999999</v>
      </c>
      <c r="L143">
        <v>0</v>
      </c>
      <c r="M143">
        <v>0</v>
      </c>
      <c r="N143">
        <v>0</v>
      </c>
      <c r="O143">
        <v>0</v>
      </c>
      <c r="P143">
        <v>0</v>
      </c>
      <c r="Q143">
        <v>-126.77185994200001</v>
      </c>
      <c r="R143">
        <v>0</v>
      </c>
      <c r="S143">
        <v>-54.033761918000003</v>
      </c>
      <c r="T143">
        <v>0</v>
      </c>
      <c r="U143">
        <v>0</v>
      </c>
      <c r="V143">
        <v>-14408.434400376</v>
      </c>
    </row>
    <row r="144" spans="1:22" x14ac:dyDescent="0.25">
      <c r="A144" t="s">
        <v>173</v>
      </c>
      <c r="B144" t="s">
        <v>180</v>
      </c>
      <c r="C144" t="s">
        <v>4</v>
      </c>
      <c r="D144">
        <v>46</v>
      </c>
      <c r="E144">
        <v>495788.49083078699</v>
      </c>
      <c r="F144">
        <v>-21028.9185693</v>
      </c>
      <c r="G144">
        <v>9324.1000006680006</v>
      </c>
      <c r="H144">
        <v>-258.04694644599999</v>
      </c>
      <c r="I144">
        <v>9350.7985919900002</v>
      </c>
      <c r="J144">
        <v>536.63804070100002</v>
      </c>
      <c r="K144">
        <v>11960.870299833001</v>
      </c>
      <c r="L144">
        <v>0</v>
      </c>
      <c r="M144">
        <v>0</v>
      </c>
      <c r="N144">
        <v>0</v>
      </c>
      <c r="O144">
        <v>0</v>
      </c>
      <c r="P144">
        <v>0</v>
      </c>
      <c r="Q144">
        <v>-602.45636871500005</v>
      </c>
      <c r="R144">
        <v>0</v>
      </c>
      <c r="S144">
        <v>-69.506337325000004</v>
      </c>
      <c r="T144">
        <v>0</v>
      </c>
      <c r="U144">
        <v>0</v>
      </c>
      <c r="V144">
        <v>-20344.251463476001</v>
      </c>
    </row>
    <row r="145" spans="1:22" x14ac:dyDescent="0.25">
      <c r="A145" t="s">
        <v>173</v>
      </c>
      <c r="B145" t="s">
        <v>181</v>
      </c>
      <c r="C145" t="s">
        <v>4</v>
      </c>
      <c r="D145">
        <v>47</v>
      </c>
      <c r="E145">
        <v>23511.818914602001</v>
      </c>
      <c r="F145">
        <v>-5.2054637340000003</v>
      </c>
      <c r="G145">
        <v>469.49999939999998</v>
      </c>
      <c r="H145">
        <v>25.498229268999999</v>
      </c>
      <c r="I145">
        <v>564.25422856399996</v>
      </c>
      <c r="J145">
        <v>82.970400326999993</v>
      </c>
      <c r="K145">
        <v>2607.0040710540002</v>
      </c>
      <c r="L145">
        <v>0</v>
      </c>
      <c r="M145">
        <v>0</v>
      </c>
      <c r="N145">
        <v>0</v>
      </c>
      <c r="O145">
        <v>0</v>
      </c>
      <c r="P145">
        <v>0</v>
      </c>
      <c r="Q145">
        <v>-1.077587595</v>
      </c>
      <c r="R145">
        <v>0</v>
      </c>
      <c r="S145">
        <v>-1.690687217</v>
      </c>
      <c r="T145">
        <v>0</v>
      </c>
      <c r="U145">
        <v>0</v>
      </c>
      <c r="V145">
        <v>0</v>
      </c>
    </row>
    <row r="146" spans="1:22" x14ac:dyDescent="0.25">
      <c r="A146" t="s">
        <v>173</v>
      </c>
      <c r="B146" t="s">
        <v>182</v>
      </c>
      <c r="C146" t="s">
        <v>4</v>
      </c>
      <c r="D146">
        <v>48</v>
      </c>
      <c r="E146">
        <v>297953.59799522301</v>
      </c>
      <c r="F146">
        <v>-408.23800769899998</v>
      </c>
      <c r="G146">
        <v>5719.3999990920001</v>
      </c>
      <c r="H146">
        <v>-48.961879080000003</v>
      </c>
      <c r="I146">
        <v>5267.9024554970001</v>
      </c>
      <c r="J146">
        <v>783.50811138899996</v>
      </c>
      <c r="K146">
        <v>-11231.291731101001</v>
      </c>
      <c r="L146">
        <v>0</v>
      </c>
      <c r="M146">
        <v>0</v>
      </c>
      <c r="N146">
        <v>0</v>
      </c>
      <c r="O146">
        <v>0</v>
      </c>
      <c r="P146">
        <v>0</v>
      </c>
      <c r="Q146">
        <v>-64.565266445999995</v>
      </c>
      <c r="R146">
        <v>0</v>
      </c>
      <c r="S146">
        <v>-258.86964780800002</v>
      </c>
      <c r="T146">
        <v>0</v>
      </c>
      <c r="U146">
        <v>0</v>
      </c>
      <c r="V146">
        <v>0</v>
      </c>
    </row>
    <row r="147" spans="1:22" x14ac:dyDescent="0.25">
      <c r="A147" t="s">
        <v>173</v>
      </c>
      <c r="B147" t="s">
        <v>183</v>
      </c>
      <c r="C147" t="s">
        <v>4</v>
      </c>
      <c r="D147">
        <v>49</v>
      </c>
      <c r="E147">
        <v>44870.449339245002</v>
      </c>
      <c r="F147">
        <v>-1254.3625554759999</v>
      </c>
      <c r="G147">
        <v>1376.88</v>
      </c>
      <c r="H147">
        <v>-58.024271083999999</v>
      </c>
      <c r="I147">
        <v>1327.256679354</v>
      </c>
      <c r="J147">
        <v>83.133585608000004</v>
      </c>
      <c r="K147">
        <v>-65.572241133000006</v>
      </c>
      <c r="L147">
        <v>0</v>
      </c>
      <c r="M147">
        <v>0</v>
      </c>
      <c r="N147">
        <v>0</v>
      </c>
      <c r="O147">
        <v>0</v>
      </c>
      <c r="P147">
        <v>0</v>
      </c>
      <c r="Q147">
        <v>-0.24358743599999999</v>
      </c>
      <c r="R147">
        <v>0</v>
      </c>
      <c r="S147">
        <v>-6.5571281849999998</v>
      </c>
      <c r="T147">
        <v>0</v>
      </c>
      <c r="U147">
        <v>0</v>
      </c>
      <c r="V147">
        <v>-1233.1542943679999</v>
      </c>
    </row>
    <row r="148" spans="1:22" x14ac:dyDescent="0.25">
      <c r="A148" t="s">
        <v>132</v>
      </c>
      <c r="B148" t="s">
        <v>137</v>
      </c>
      <c r="C148" t="s">
        <v>4</v>
      </c>
      <c r="D148">
        <v>5</v>
      </c>
      <c r="E148">
        <v>973064.17669774604</v>
      </c>
      <c r="F148">
        <v>-23246.735128845001</v>
      </c>
      <c r="G148">
        <v>24373.999999404001</v>
      </c>
      <c r="H148">
        <v>391.05207705700002</v>
      </c>
      <c r="I148">
        <v>24871.031245192</v>
      </c>
      <c r="J148">
        <v>420.12334783900002</v>
      </c>
      <c r="K148">
        <v>4150.0681106769998</v>
      </c>
      <c r="L148">
        <v>0</v>
      </c>
      <c r="M148">
        <v>0</v>
      </c>
      <c r="N148">
        <v>0</v>
      </c>
      <c r="O148">
        <v>0</v>
      </c>
      <c r="P148">
        <v>0</v>
      </c>
      <c r="Q148">
        <v>-29.559649391000001</v>
      </c>
      <c r="R148">
        <v>0</v>
      </c>
      <c r="S148">
        <v>-49.392171701999999</v>
      </c>
      <c r="T148">
        <v>0</v>
      </c>
      <c r="U148">
        <v>0</v>
      </c>
      <c r="V148">
        <v>-23126.150142605999</v>
      </c>
    </row>
    <row r="149" spans="1:22" x14ac:dyDescent="0.25">
      <c r="A149" t="s">
        <v>173</v>
      </c>
      <c r="B149" t="s">
        <v>184</v>
      </c>
      <c r="C149" t="s">
        <v>4</v>
      </c>
      <c r="D149">
        <v>50</v>
      </c>
      <c r="E149">
        <v>85877.218053168006</v>
      </c>
      <c r="F149">
        <v>-66.203545653000006</v>
      </c>
      <c r="G149">
        <v>2452.5500000520001</v>
      </c>
      <c r="H149">
        <v>21.615000383000002</v>
      </c>
      <c r="I149">
        <v>2497.231053905</v>
      </c>
      <c r="J149">
        <v>245.148445455</v>
      </c>
      <c r="K149">
        <v>-593.31288241499999</v>
      </c>
      <c r="L149">
        <v>0</v>
      </c>
      <c r="M149">
        <v>0</v>
      </c>
      <c r="N149">
        <v>0</v>
      </c>
      <c r="O149">
        <v>0</v>
      </c>
      <c r="P149">
        <v>0</v>
      </c>
      <c r="Q149">
        <v>-1.551151811</v>
      </c>
      <c r="R149">
        <v>0</v>
      </c>
      <c r="S149">
        <v>-28.06857029</v>
      </c>
      <c r="T149">
        <v>0</v>
      </c>
      <c r="U149">
        <v>0</v>
      </c>
      <c r="V149">
        <v>0</v>
      </c>
    </row>
    <row r="150" spans="1:22" x14ac:dyDescent="0.25">
      <c r="A150" t="s">
        <v>173</v>
      </c>
      <c r="B150" t="s">
        <v>185</v>
      </c>
      <c r="C150" t="s">
        <v>4</v>
      </c>
      <c r="D150">
        <v>51</v>
      </c>
      <c r="E150">
        <v>-118.547722804</v>
      </c>
      <c r="F150">
        <v>-1.787959458</v>
      </c>
      <c r="G150">
        <v>0</v>
      </c>
      <c r="H150">
        <v>0</v>
      </c>
      <c r="I150">
        <v>-3.1067840000000002</v>
      </c>
      <c r="J150">
        <v>3.1067840000000002</v>
      </c>
      <c r="K150">
        <v>-118.547722804</v>
      </c>
      <c r="L150">
        <v>0</v>
      </c>
      <c r="M150">
        <v>0</v>
      </c>
      <c r="N150">
        <v>0</v>
      </c>
      <c r="O150">
        <v>0</v>
      </c>
      <c r="P150">
        <v>0</v>
      </c>
      <c r="Q150">
        <v>0</v>
      </c>
      <c r="R150">
        <v>0</v>
      </c>
      <c r="S150">
        <v>-0.57197415600000001</v>
      </c>
      <c r="T150">
        <v>0</v>
      </c>
      <c r="U150">
        <v>0</v>
      </c>
      <c r="V150">
        <v>0</v>
      </c>
    </row>
    <row r="151" spans="1:22" x14ac:dyDescent="0.25">
      <c r="A151" t="s">
        <v>173</v>
      </c>
      <c r="B151" t="s">
        <v>186</v>
      </c>
      <c r="C151" t="s">
        <v>4</v>
      </c>
      <c r="D151">
        <v>52</v>
      </c>
      <c r="E151">
        <v>-1107.3930676320001</v>
      </c>
      <c r="F151">
        <v>-17.116996861000001</v>
      </c>
      <c r="G151">
        <v>0</v>
      </c>
      <c r="H151">
        <v>0</v>
      </c>
      <c r="I151">
        <v>-28.827788055999999</v>
      </c>
      <c r="J151">
        <v>28.827788055999999</v>
      </c>
      <c r="K151">
        <v>-1107.3930676320001</v>
      </c>
      <c r="L151">
        <v>0</v>
      </c>
      <c r="M151">
        <v>0</v>
      </c>
      <c r="N151">
        <v>0</v>
      </c>
      <c r="O151">
        <v>0</v>
      </c>
      <c r="P151">
        <v>0</v>
      </c>
      <c r="Q151">
        <v>0</v>
      </c>
      <c r="R151">
        <v>0</v>
      </c>
      <c r="S151">
        <v>-7.2203964239999996</v>
      </c>
      <c r="T151">
        <v>0</v>
      </c>
      <c r="U151">
        <v>0</v>
      </c>
      <c r="V151">
        <v>0</v>
      </c>
    </row>
    <row r="152" spans="1:22" x14ac:dyDescent="0.25">
      <c r="A152" t="s">
        <v>173</v>
      </c>
      <c r="B152" t="s">
        <v>187</v>
      </c>
      <c r="C152" t="s">
        <v>4</v>
      </c>
      <c r="D152">
        <v>53</v>
      </c>
      <c r="E152">
        <v>71272.615506602</v>
      </c>
      <c r="F152">
        <v>-106.74963294600001</v>
      </c>
      <c r="G152">
        <v>2323.5900000840002</v>
      </c>
      <c r="H152">
        <v>-211.53314723899999</v>
      </c>
      <c r="I152">
        <v>2079.4186022459999</v>
      </c>
      <c r="J152">
        <v>534.09374771299997</v>
      </c>
      <c r="K152">
        <v>-4670.0790238990003</v>
      </c>
      <c r="L152">
        <v>0</v>
      </c>
      <c r="M152">
        <v>0</v>
      </c>
      <c r="N152">
        <v>0</v>
      </c>
      <c r="O152">
        <v>0</v>
      </c>
      <c r="P152">
        <v>0</v>
      </c>
      <c r="Q152">
        <v>58.482387932999998</v>
      </c>
      <c r="R152">
        <v>0</v>
      </c>
      <c r="S152">
        <v>-86.447382446000006</v>
      </c>
      <c r="T152">
        <v>0</v>
      </c>
      <c r="U152">
        <v>0</v>
      </c>
      <c r="V152">
        <v>0</v>
      </c>
    </row>
    <row r="153" spans="1:22" x14ac:dyDescent="0.25">
      <c r="A153" t="s">
        <v>173</v>
      </c>
      <c r="B153" t="s">
        <v>188</v>
      </c>
      <c r="C153" t="s">
        <v>4</v>
      </c>
      <c r="D153">
        <v>54</v>
      </c>
      <c r="E153">
        <v>124913.90209869501</v>
      </c>
      <c r="F153">
        <v>-17076.073353350999</v>
      </c>
      <c r="G153">
        <v>3251.940002544</v>
      </c>
      <c r="H153">
        <v>-175.46446234800001</v>
      </c>
      <c r="I153">
        <v>3107.0899957689999</v>
      </c>
      <c r="J153">
        <v>188.642116703</v>
      </c>
      <c r="K153">
        <v>974.94148338000002</v>
      </c>
      <c r="L153">
        <v>0</v>
      </c>
      <c r="M153">
        <v>0</v>
      </c>
      <c r="N153">
        <v>0</v>
      </c>
      <c r="O153">
        <v>0</v>
      </c>
      <c r="P153">
        <v>0</v>
      </c>
      <c r="Q153">
        <v>-2.0038500000000002E-3</v>
      </c>
      <c r="R153">
        <v>0</v>
      </c>
      <c r="S153">
        <v>-25.724696778999999</v>
      </c>
      <c r="T153">
        <v>0</v>
      </c>
      <c r="U153">
        <v>0</v>
      </c>
      <c r="V153">
        <v>-17027.641500180001</v>
      </c>
    </row>
    <row r="154" spans="1:22" x14ac:dyDescent="0.25">
      <c r="A154" t="s">
        <v>173</v>
      </c>
      <c r="B154" t="s">
        <v>189</v>
      </c>
      <c r="C154" t="s">
        <v>4</v>
      </c>
      <c r="D154">
        <v>55</v>
      </c>
      <c r="E154">
        <v>586151.381275967</v>
      </c>
      <c r="F154">
        <v>-4255.3246507100002</v>
      </c>
      <c r="G154">
        <v>10856.600000820001</v>
      </c>
      <c r="H154">
        <v>1580.4179756000001</v>
      </c>
      <c r="I154">
        <v>12494.816187531</v>
      </c>
      <c r="J154">
        <v>340.46438016399998</v>
      </c>
      <c r="K154">
        <v>405.70616365000001</v>
      </c>
      <c r="L154">
        <v>0</v>
      </c>
      <c r="M154">
        <v>0</v>
      </c>
      <c r="N154">
        <v>0</v>
      </c>
      <c r="O154">
        <v>0</v>
      </c>
      <c r="P154">
        <v>0</v>
      </c>
      <c r="Q154">
        <v>-40.917471188999997</v>
      </c>
      <c r="R154">
        <v>0</v>
      </c>
      <c r="S154">
        <v>-40.769437646999997</v>
      </c>
      <c r="T154">
        <v>0</v>
      </c>
      <c r="U154">
        <v>0</v>
      </c>
      <c r="V154">
        <v>-4135.5355291919996</v>
      </c>
    </row>
    <row r="155" spans="1:22" x14ac:dyDescent="0.25">
      <c r="A155" t="s">
        <v>173</v>
      </c>
      <c r="B155" t="s">
        <v>190</v>
      </c>
      <c r="C155" t="s">
        <v>4</v>
      </c>
      <c r="D155">
        <v>56</v>
      </c>
      <c r="E155">
        <v>352021.02307768498</v>
      </c>
      <c r="F155">
        <v>-1611.966387358</v>
      </c>
      <c r="G155">
        <v>7551.9700022039997</v>
      </c>
      <c r="H155">
        <v>-23.439519465</v>
      </c>
      <c r="I155">
        <v>7534.3531359409999</v>
      </c>
      <c r="J155">
        <v>144.467156512</v>
      </c>
      <c r="K155">
        <v>-410.09059405699998</v>
      </c>
      <c r="L155">
        <v>0</v>
      </c>
      <c r="M155">
        <v>0</v>
      </c>
      <c r="N155">
        <v>0</v>
      </c>
      <c r="O155">
        <v>0</v>
      </c>
      <c r="P155">
        <v>0</v>
      </c>
      <c r="Q155">
        <v>-204.08854281500001</v>
      </c>
      <c r="R155">
        <v>0</v>
      </c>
      <c r="S155">
        <v>-20.292198192000001</v>
      </c>
      <c r="T155">
        <v>0</v>
      </c>
      <c r="U155">
        <v>0</v>
      </c>
      <c r="V155">
        <v>-1367.8151058240001</v>
      </c>
    </row>
    <row r="156" spans="1:22" x14ac:dyDescent="0.25">
      <c r="A156" t="s">
        <v>173</v>
      </c>
      <c r="B156" t="s">
        <v>191</v>
      </c>
      <c r="C156" t="s">
        <v>4</v>
      </c>
      <c r="D156">
        <v>57</v>
      </c>
      <c r="E156">
        <v>1596016.1096417999</v>
      </c>
      <c r="F156">
        <v>-26894.038483122</v>
      </c>
      <c r="G156">
        <v>30010.400000411999</v>
      </c>
      <c r="H156">
        <v>-1375.667024678</v>
      </c>
      <c r="I156">
        <v>29097.090046714999</v>
      </c>
      <c r="J156">
        <v>1500.7145837969999</v>
      </c>
      <c r="K156">
        <v>27096.013673369998</v>
      </c>
      <c r="L156">
        <v>0</v>
      </c>
      <c r="M156">
        <v>0</v>
      </c>
      <c r="N156">
        <v>0</v>
      </c>
      <c r="O156">
        <v>0</v>
      </c>
      <c r="P156">
        <v>0</v>
      </c>
      <c r="Q156">
        <v>-3833.2931674689999</v>
      </c>
      <c r="R156">
        <v>791.322181419</v>
      </c>
      <c r="S156">
        <v>-202.08700257800001</v>
      </c>
      <c r="T156">
        <v>0</v>
      </c>
      <c r="U156">
        <v>0</v>
      </c>
      <c r="V156">
        <v>-23549.509779294</v>
      </c>
    </row>
    <row r="157" spans="1:22" x14ac:dyDescent="0.25">
      <c r="A157" t="s">
        <v>173</v>
      </c>
      <c r="B157" t="s">
        <v>192</v>
      </c>
      <c r="C157" t="s">
        <v>4</v>
      </c>
      <c r="D157">
        <v>58</v>
      </c>
      <c r="E157">
        <v>21577.932378722999</v>
      </c>
      <c r="F157">
        <v>-2578.2545618250001</v>
      </c>
      <c r="G157">
        <v>809.68000004400005</v>
      </c>
      <c r="H157">
        <v>-62.198854214000001</v>
      </c>
      <c r="I157">
        <v>743.89626547800003</v>
      </c>
      <c r="J157">
        <v>59.059393237999998</v>
      </c>
      <c r="K157">
        <v>-2305.3433474160001</v>
      </c>
      <c r="L157">
        <v>0</v>
      </c>
      <c r="M157">
        <v>0</v>
      </c>
      <c r="N157">
        <v>0</v>
      </c>
      <c r="O157">
        <v>0</v>
      </c>
      <c r="P157">
        <v>0</v>
      </c>
      <c r="Q157">
        <v>-2.184299357</v>
      </c>
      <c r="R157">
        <v>0</v>
      </c>
      <c r="S157">
        <v>2.968555775</v>
      </c>
      <c r="T157">
        <v>0</v>
      </c>
      <c r="U157">
        <v>0</v>
      </c>
      <c r="V157">
        <v>-2555.5500189300001</v>
      </c>
    </row>
    <row r="158" spans="1:22" x14ac:dyDescent="0.25">
      <c r="A158" t="s">
        <v>173</v>
      </c>
      <c r="B158" t="s">
        <v>193</v>
      </c>
      <c r="C158" t="s">
        <v>4</v>
      </c>
      <c r="D158">
        <v>59</v>
      </c>
      <c r="E158">
        <v>1101300.72874383</v>
      </c>
      <c r="F158">
        <v>-12909.405114835999</v>
      </c>
      <c r="G158">
        <v>29770.910001635999</v>
      </c>
      <c r="H158">
        <v>-1610.1628658510001</v>
      </c>
      <c r="I158">
        <v>28170.653999999999</v>
      </c>
      <c r="J158">
        <v>519.52253752900003</v>
      </c>
      <c r="K158">
        <v>-3887.5099744200002</v>
      </c>
      <c r="L158">
        <v>2856.7053592500001</v>
      </c>
      <c r="M158">
        <v>8.6253750000000004E-2</v>
      </c>
      <c r="N158">
        <v>20126.086255800001</v>
      </c>
      <c r="O158">
        <v>18846.521808649999</v>
      </c>
      <c r="P158">
        <v>-3246.4135683929999</v>
      </c>
      <c r="Q158">
        <v>-2330.0819348280002</v>
      </c>
      <c r="R158">
        <v>2429.149343478</v>
      </c>
      <c r="S158">
        <v>-13.761600098000001</v>
      </c>
      <c r="T158">
        <v>0</v>
      </c>
      <c r="U158">
        <v>0</v>
      </c>
      <c r="V158">
        <v>-52023.125331023999</v>
      </c>
    </row>
    <row r="159" spans="1:22" x14ac:dyDescent="0.25">
      <c r="A159" t="s">
        <v>132</v>
      </c>
      <c r="B159" t="s">
        <v>138</v>
      </c>
      <c r="C159" t="s">
        <v>4</v>
      </c>
      <c r="D159">
        <v>6</v>
      </c>
      <c r="E159">
        <v>1214202.40925716</v>
      </c>
      <c r="F159">
        <v>-28195.098967389</v>
      </c>
      <c r="G159">
        <v>30613.500000576001</v>
      </c>
      <c r="H159">
        <v>295.390105753</v>
      </c>
      <c r="I159">
        <v>30829.606681067999</v>
      </c>
      <c r="J159">
        <v>410.18517385899997</v>
      </c>
      <c r="K159">
        <v>-4056.006091145</v>
      </c>
      <c r="L159">
        <v>0</v>
      </c>
      <c r="M159">
        <v>0</v>
      </c>
      <c r="N159">
        <v>0</v>
      </c>
      <c r="O159">
        <v>0</v>
      </c>
      <c r="P159">
        <v>0</v>
      </c>
      <c r="Q159">
        <v>-29.852937497999999</v>
      </c>
      <c r="R159">
        <v>0</v>
      </c>
      <c r="S159">
        <v>-79.135728455999995</v>
      </c>
      <c r="T159">
        <v>0</v>
      </c>
      <c r="U159">
        <v>0</v>
      </c>
      <c r="V159">
        <v>-28010.721159011999</v>
      </c>
    </row>
    <row r="160" spans="1:22" x14ac:dyDescent="0.25">
      <c r="A160" t="s">
        <v>173</v>
      </c>
      <c r="B160" t="s">
        <v>194</v>
      </c>
      <c r="C160" t="s">
        <v>4</v>
      </c>
      <c r="D160">
        <v>60</v>
      </c>
      <c r="E160">
        <v>9917.303509333</v>
      </c>
      <c r="F160">
        <v>-13.929261460999999</v>
      </c>
      <c r="G160">
        <v>168.3</v>
      </c>
      <c r="H160">
        <v>33.356333544000002</v>
      </c>
      <c r="I160">
        <v>242.05750530899999</v>
      </c>
      <c r="J160">
        <v>84.431725835999998</v>
      </c>
      <c r="K160">
        <v>2275.3024725969999</v>
      </c>
      <c r="L160">
        <v>0</v>
      </c>
      <c r="M160">
        <v>0</v>
      </c>
      <c r="N160">
        <v>0</v>
      </c>
      <c r="O160">
        <v>0</v>
      </c>
      <c r="P160">
        <v>0</v>
      </c>
      <c r="Q160">
        <v>-0.339504741</v>
      </c>
      <c r="R160">
        <v>0</v>
      </c>
      <c r="S160">
        <v>-0.326876218</v>
      </c>
      <c r="T160">
        <v>0</v>
      </c>
      <c r="U160">
        <v>0</v>
      </c>
      <c r="V160">
        <v>0</v>
      </c>
    </row>
    <row r="161" spans="1:22" x14ac:dyDescent="0.25">
      <c r="A161" t="s">
        <v>196</v>
      </c>
      <c r="B161" t="s">
        <v>197</v>
      </c>
      <c r="C161" t="s">
        <v>4</v>
      </c>
      <c r="D161">
        <v>62</v>
      </c>
      <c r="E161">
        <v>2238246.4006420001</v>
      </c>
      <c r="F161">
        <v>143093.008377527</v>
      </c>
      <c r="G161">
        <v>37668.950002536003</v>
      </c>
      <c r="H161">
        <v>1635.8570803069999</v>
      </c>
      <c r="I161">
        <v>39021.113666158002</v>
      </c>
      <c r="J161">
        <v>1543.5543989170001</v>
      </c>
      <c r="K161">
        <v>-17574.002506312001</v>
      </c>
      <c r="L161">
        <v>80745.430366600005</v>
      </c>
      <c r="M161">
        <v>78091.569774999996</v>
      </c>
      <c r="N161">
        <v>0</v>
      </c>
      <c r="O161">
        <v>0</v>
      </c>
      <c r="P161">
        <v>-753.89200145699999</v>
      </c>
      <c r="Q161">
        <v>-4922.5775418220001</v>
      </c>
      <c r="R161">
        <v>29378.584643624999</v>
      </c>
      <c r="S161">
        <v>-348.534840809</v>
      </c>
      <c r="T161">
        <v>0</v>
      </c>
      <c r="U161">
        <v>0</v>
      </c>
      <c r="V161">
        <v>-38861.983012224002</v>
      </c>
    </row>
    <row r="162" spans="1:22" x14ac:dyDescent="0.25">
      <c r="A162" t="s">
        <v>196</v>
      </c>
      <c r="B162" t="s">
        <v>198</v>
      </c>
      <c r="C162" t="s">
        <v>4</v>
      </c>
      <c r="D162">
        <v>63</v>
      </c>
      <c r="E162">
        <v>462733.05274121597</v>
      </c>
      <c r="F162">
        <v>24473.416033075999</v>
      </c>
      <c r="G162">
        <v>7562.329997844</v>
      </c>
      <c r="H162">
        <v>587.75140217700005</v>
      </c>
      <c r="I162">
        <v>7979.2367383950004</v>
      </c>
      <c r="J162">
        <v>731.707186933</v>
      </c>
      <c r="K162">
        <v>-17352.952651621999</v>
      </c>
      <c r="L162">
        <v>41349.004814699998</v>
      </c>
      <c r="M162">
        <v>0</v>
      </c>
      <c r="N162">
        <v>0</v>
      </c>
      <c r="O162">
        <v>0</v>
      </c>
      <c r="P162">
        <v>-405.04876892200002</v>
      </c>
      <c r="Q162">
        <v>-1788.570661359</v>
      </c>
      <c r="R162">
        <v>8488.4198113359998</v>
      </c>
      <c r="S162">
        <v>-18.879856806999999</v>
      </c>
      <c r="T162">
        <v>0</v>
      </c>
      <c r="U162">
        <v>0</v>
      </c>
      <c r="V162">
        <v>-22875.553026972</v>
      </c>
    </row>
    <row r="163" spans="1:22" x14ac:dyDescent="0.25">
      <c r="A163" t="s">
        <v>196</v>
      </c>
      <c r="B163" t="s">
        <v>199</v>
      </c>
      <c r="C163" t="s">
        <v>4</v>
      </c>
      <c r="D163">
        <v>64</v>
      </c>
      <c r="E163">
        <v>922205.78561723605</v>
      </c>
      <c r="F163">
        <v>5610.5279154549999</v>
      </c>
      <c r="G163">
        <v>17223.650002091999</v>
      </c>
      <c r="H163">
        <v>-75.439788608000001</v>
      </c>
      <c r="I163">
        <v>17220.016257301999</v>
      </c>
      <c r="J163">
        <v>944.59208270299996</v>
      </c>
      <c r="K163">
        <v>3353.4657897249999</v>
      </c>
      <c r="L163">
        <v>39307.490323799997</v>
      </c>
      <c r="M163">
        <v>7236.6191399999998</v>
      </c>
      <c r="N163">
        <v>0</v>
      </c>
      <c r="O163">
        <v>0</v>
      </c>
      <c r="P163">
        <v>-1681.101889218</v>
      </c>
      <c r="Q163">
        <v>-1883.929076007</v>
      </c>
      <c r="R163">
        <v>1190.578695382</v>
      </c>
      <c r="S163">
        <v>-112.946249796</v>
      </c>
      <c r="T163">
        <v>0</v>
      </c>
      <c r="U163">
        <v>0</v>
      </c>
      <c r="V163">
        <v>-38285.925382385998</v>
      </c>
    </row>
    <row r="164" spans="1:22" x14ac:dyDescent="0.25">
      <c r="A164" t="s">
        <v>196</v>
      </c>
      <c r="B164" t="s">
        <v>200</v>
      </c>
      <c r="C164" t="s">
        <v>4</v>
      </c>
      <c r="D164">
        <v>65</v>
      </c>
      <c r="E164">
        <v>954037.76577792305</v>
      </c>
      <c r="F164">
        <v>-2580.120027127</v>
      </c>
      <c r="G164">
        <v>18686.130001752001</v>
      </c>
      <c r="H164">
        <v>150.23419574799999</v>
      </c>
      <c r="I164">
        <v>18562.354772819999</v>
      </c>
      <c r="J164">
        <v>1168.1773651569999</v>
      </c>
      <c r="K164">
        <v>-14887.269292309</v>
      </c>
      <c r="L164">
        <v>33951.926699099997</v>
      </c>
      <c r="M164">
        <v>5697.0459149999997</v>
      </c>
      <c r="N164">
        <v>0</v>
      </c>
      <c r="O164">
        <v>0</v>
      </c>
      <c r="P164">
        <v>-1202.6068652900001</v>
      </c>
      <c r="Q164">
        <v>-1525.2765904410001</v>
      </c>
      <c r="R164">
        <v>1195.8100267530001</v>
      </c>
      <c r="S164">
        <v>-86.072307511000005</v>
      </c>
      <c r="T164">
        <v>0</v>
      </c>
      <c r="U164">
        <v>0</v>
      </c>
      <c r="V164">
        <v>-40235.153131097999</v>
      </c>
    </row>
    <row r="165" spans="1:22" x14ac:dyDescent="0.25">
      <c r="A165" t="s">
        <v>196</v>
      </c>
      <c r="B165" t="s">
        <v>201</v>
      </c>
      <c r="C165" t="s">
        <v>4</v>
      </c>
      <c r="D165">
        <v>66</v>
      </c>
      <c r="E165">
        <v>729708.73410693905</v>
      </c>
      <c r="F165">
        <v>33299.660911437997</v>
      </c>
      <c r="G165">
        <v>12096.699997055999</v>
      </c>
      <c r="H165">
        <v>1156.908882937</v>
      </c>
      <c r="I165">
        <v>12272.404493975</v>
      </c>
      <c r="J165">
        <v>1605.232017</v>
      </c>
      <c r="K165">
        <v>-33566.303276589002</v>
      </c>
      <c r="L165">
        <v>71625.704397449997</v>
      </c>
      <c r="M165">
        <v>0</v>
      </c>
      <c r="N165">
        <v>0</v>
      </c>
      <c r="O165">
        <v>0</v>
      </c>
      <c r="P165">
        <v>-3365.3015113340002</v>
      </c>
      <c r="Q165">
        <v>-3049.246912611</v>
      </c>
      <c r="R165">
        <v>2900.8838378109999</v>
      </c>
      <c r="S165">
        <v>-484.00092160499997</v>
      </c>
      <c r="T165">
        <v>0</v>
      </c>
      <c r="U165">
        <v>0</v>
      </c>
      <c r="V165">
        <v>-34044.072866376002</v>
      </c>
    </row>
    <row r="166" spans="1:22" x14ac:dyDescent="0.25">
      <c r="A166" t="s">
        <v>196</v>
      </c>
      <c r="B166" t="s">
        <v>202</v>
      </c>
      <c r="C166" t="s">
        <v>4</v>
      </c>
      <c r="D166">
        <v>67</v>
      </c>
      <c r="E166">
        <v>17696.620981181</v>
      </c>
      <c r="F166">
        <v>-15.905039052999999</v>
      </c>
      <c r="G166">
        <v>291.02000109599999</v>
      </c>
      <c r="H166">
        <v>12.395000052</v>
      </c>
      <c r="I166">
        <v>372.99548622399999</v>
      </c>
      <c r="J166">
        <v>109.57993455099999</v>
      </c>
      <c r="K166">
        <v>3113.2975469530002</v>
      </c>
      <c r="L166">
        <v>0</v>
      </c>
      <c r="M166">
        <v>0</v>
      </c>
      <c r="N166">
        <v>0</v>
      </c>
      <c r="O166">
        <v>0</v>
      </c>
      <c r="P166">
        <v>0</v>
      </c>
      <c r="Q166">
        <v>-3.9084323570000001</v>
      </c>
      <c r="R166">
        <v>0</v>
      </c>
      <c r="S166">
        <v>-4.5835039709999998</v>
      </c>
      <c r="T166">
        <v>0</v>
      </c>
      <c r="U166">
        <v>0</v>
      </c>
      <c r="V166">
        <v>0</v>
      </c>
    </row>
    <row r="167" spans="1:22" x14ac:dyDescent="0.25">
      <c r="A167" t="s">
        <v>196</v>
      </c>
      <c r="B167" t="s">
        <v>203</v>
      </c>
      <c r="C167" t="s">
        <v>4</v>
      </c>
      <c r="D167">
        <v>68</v>
      </c>
      <c r="E167">
        <v>99284.501169840994</v>
      </c>
      <c r="F167">
        <v>-103.23572452499999</v>
      </c>
      <c r="G167">
        <v>2051.7600003839998</v>
      </c>
      <c r="H167">
        <v>76.864801385999996</v>
      </c>
      <c r="I167">
        <v>2261.2568263479998</v>
      </c>
      <c r="J167">
        <v>465.94509182600001</v>
      </c>
      <c r="K167">
        <v>3093.1701866459998</v>
      </c>
      <c r="L167">
        <v>0</v>
      </c>
      <c r="M167">
        <v>0</v>
      </c>
      <c r="N167">
        <v>0</v>
      </c>
      <c r="O167">
        <v>0</v>
      </c>
      <c r="P167">
        <v>0</v>
      </c>
      <c r="Q167">
        <v>3.4613448139999998</v>
      </c>
      <c r="R167">
        <v>0</v>
      </c>
      <c r="S167">
        <v>-47.461130031000003</v>
      </c>
      <c r="T167">
        <v>0</v>
      </c>
      <c r="U167">
        <v>0</v>
      </c>
      <c r="V167">
        <v>0</v>
      </c>
    </row>
    <row r="168" spans="1:22" x14ac:dyDescent="0.25">
      <c r="A168" t="s">
        <v>196</v>
      </c>
      <c r="B168" t="s">
        <v>204</v>
      </c>
      <c r="C168" t="s">
        <v>4</v>
      </c>
      <c r="D168">
        <v>69</v>
      </c>
      <c r="E168">
        <v>48822.208027310997</v>
      </c>
      <c r="F168">
        <v>-3.3229705329999999</v>
      </c>
      <c r="G168">
        <v>307.19999923199998</v>
      </c>
      <c r="H168">
        <v>61.829166772000001</v>
      </c>
      <c r="I168">
        <v>1151.8394782319999</v>
      </c>
      <c r="J168">
        <v>790.68299520599999</v>
      </c>
      <c r="K168">
        <v>35506.984067956</v>
      </c>
      <c r="L168">
        <v>0</v>
      </c>
      <c r="M168">
        <v>0</v>
      </c>
      <c r="N168">
        <v>0</v>
      </c>
      <c r="O168">
        <v>0</v>
      </c>
      <c r="P168">
        <v>0</v>
      </c>
      <c r="Q168">
        <v>-0.77946241299999997</v>
      </c>
      <c r="R168">
        <v>0</v>
      </c>
      <c r="S168">
        <v>0.14252858199999999</v>
      </c>
      <c r="T168">
        <v>0</v>
      </c>
      <c r="U168">
        <v>0</v>
      </c>
      <c r="V168">
        <v>0</v>
      </c>
    </row>
    <row r="169" spans="1:22" x14ac:dyDescent="0.25">
      <c r="A169" t="s">
        <v>132</v>
      </c>
      <c r="B169" t="s">
        <v>139</v>
      </c>
      <c r="C169" t="s">
        <v>4</v>
      </c>
      <c r="D169">
        <v>7</v>
      </c>
      <c r="E169">
        <v>729226.19246260298</v>
      </c>
      <c r="F169">
        <v>-224.847193519</v>
      </c>
      <c r="G169">
        <v>18063.499999356001</v>
      </c>
      <c r="H169">
        <v>1719.2607082479999</v>
      </c>
      <c r="I169">
        <v>20128.349421908999</v>
      </c>
      <c r="J169">
        <v>1128.2709475920001</v>
      </c>
      <c r="K169">
        <v>16843.201433030001</v>
      </c>
      <c r="L169">
        <v>0</v>
      </c>
      <c r="M169">
        <v>0</v>
      </c>
      <c r="N169">
        <v>0</v>
      </c>
      <c r="O169">
        <v>0</v>
      </c>
      <c r="P169">
        <v>0</v>
      </c>
      <c r="Q169">
        <v>5.8307800170000004</v>
      </c>
      <c r="R169">
        <v>0</v>
      </c>
      <c r="S169">
        <v>-93.455887008999994</v>
      </c>
      <c r="T169">
        <v>0</v>
      </c>
      <c r="U169">
        <v>0</v>
      </c>
      <c r="V169">
        <v>0</v>
      </c>
    </row>
    <row r="170" spans="1:22" x14ac:dyDescent="0.25">
      <c r="A170" t="s">
        <v>196</v>
      </c>
      <c r="B170" t="s">
        <v>205</v>
      </c>
      <c r="C170" t="s">
        <v>4</v>
      </c>
      <c r="D170">
        <v>70</v>
      </c>
      <c r="E170">
        <v>0</v>
      </c>
      <c r="F170">
        <v>0</v>
      </c>
      <c r="G170">
        <v>0</v>
      </c>
      <c r="H170">
        <v>0</v>
      </c>
      <c r="I170">
        <v>0</v>
      </c>
      <c r="J170">
        <v>0</v>
      </c>
      <c r="K170">
        <v>0</v>
      </c>
      <c r="L170">
        <v>0</v>
      </c>
      <c r="M170">
        <v>0</v>
      </c>
      <c r="N170">
        <v>0</v>
      </c>
      <c r="O170">
        <v>0</v>
      </c>
      <c r="P170">
        <v>0</v>
      </c>
      <c r="Q170">
        <v>0</v>
      </c>
      <c r="R170">
        <v>0</v>
      </c>
      <c r="S170">
        <v>0</v>
      </c>
      <c r="T170">
        <v>0</v>
      </c>
      <c r="U170">
        <v>0</v>
      </c>
      <c r="V170">
        <v>0</v>
      </c>
    </row>
    <row r="171" spans="1:22" x14ac:dyDescent="0.25">
      <c r="A171" t="s">
        <v>196</v>
      </c>
      <c r="B171" t="s">
        <v>206</v>
      </c>
      <c r="C171" t="s">
        <v>4</v>
      </c>
      <c r="D171">
        <v>71</v>
      </c>
      <c r="E171">
        <v>0</v>
      </c>
      <c r="F171">
        <v>0</v>
      </c>
      <c r="G171">
        <v>0</v>
      </c>
      <c r="H171">
        <v>0</v>
      </c>
      <c r="I171">
        <v>0</v>
      </c>
      <c r="J171">
        <v>0</v>
      </c>
      <c r="K171">
        <v>0</v>
      </c>
      <c r="L171">
        <v>0</v>
      </c>
      <c r="M171">
        <v>0</v>
      </c>
      <c r="N171">
        <v>0</v>
      </c>
      <c r="O171">
        <v>0</v>
      </c>
      <c r="P171">
        <v>0</v>
      </c>
      <c r="Q171">
        <v>0</v>
      </c>
      <c r="R171">
        <v>0</v>
      </c>
      <c r="S171">
        <v>0</v>
      </c>
      <c r="T171">
        <v>0</v>
      </c>
      <c r="U171">
        <v>0</v>
      </c>
      <c r="V171">
        <v>0</v>
      </c>
    </row>
    <row r="172" spans="1:22" x14ac:dyDescent="0.25">
      <c r="A172" t="s">
        <v>196</v>
      </c>
      <c r="B172" t="s">
        <v>207</v>
      </c>
      <c r="C172" t="s">
        <v>4</v>
      </c>
      <c r="D172">
        <v>72</v>
      </c>
      <c r="E172">
        <v>0</v>
      </c>
      <c r="F172">
        <v>0</v>
      </c>
      <c r="G172">
        <v>0</v>
      </c>
      <c r="H172">
        <v>0</v>
      </c>
      <c r="I172">
        <v>0</v>
      </c>
      <c r="J172">
        <v>0</v>
      </c>
      <c r="K172">
        <v>0</v>
      </c>
      <c r="L172">
        <v>0</v>
      </c>
      <c r="M172">
        <v>0</v>
      </c>
      <c r="N172">
        <v>0</v>
      </c>
      <c r="O172">
        <v>0</v>
      </c>
      <c r="P172">
        <v>0</v>
      </c>
      <c r="Q172">
        <v>0</v>
      </c>
      <c r="R172">
        <v>0</v>
      </c>
      <c r="S172">
        <v>0</v>
      </c>
      <c r="T172">
        <v>0</v>
      </c>
      <c r="U172">
        <v>0</v>
      </c>
      <c r="V172">
        <v>0</v>
      </c>
    </row>
    <row r="173" spans="1:22" x14ac:dyDescent="0.25">
      <c r="A173" t="s">
        <v>196</v>
      </c>
      <c r="B173" t="s">
        <v>208</v>
      </c>
      <c r="C173" t="s">
        <v>4</v>
      </c>
      <c r="D173">
        <v>73</v>
      </c>
      <c r="E173">
        <v>1362256.14299049</v>
      </c>
      <c r="F173">
        <v>77382.724845492994</v>
      </c>
      <c r="G173">
        <v>43053.719999567998</v>
      </c>
      <c r="H173">
        <v>-7238.411647121</v>
      </c>
      <c r="I173">
        <v>35907.986361818999</v>
      </c>
      <c r="J173">
        <v>691.65100577500004</v>
      </c>
      <c r="K173">
        <v>2066.5101771949999</v>
      </c>
      <c r="L173">
        <v>0</v>
      </c>
      <c r="M173">
        <v>0</v>
      </c>
      <c r="N173">
        <v>56072.918507599999</v>
      </c>
      <c r="O173">
        <v>31085.682415374999</v>
      </c>
      <c r="P173">
        <v>-12667.092214857001</v>
      </c>
      <c r="Q173">
        <v>2665.3499296169998</v>
      </c>
      <c r="R173">
        <v>0</v>
      </c>
      <c r="S173">
        <v>-146.35756985200001</v>
      </c>
      <c r="T173">
        <v>0</v>
      </c>
      <c r="U173">
        <v>0</v>
      </c>
      <c r="V173">
        <v>0</v>
      </c>
    </row>
    <row r="174" spans="1:22" x14ac:dyDescent="0.25">
      <c r="A174" t="s">
        <v>196</v>
      </c>
      <c r="B174" t="s">
        <v>209</v>
      </c>
      <c r="C174" t="s">
        <v>4</v>
      </c>
      <c r="D174">
        <v>74</v>
      </c>
      <c r="E174">
        <v>0</v>
      </c>
      <c r="F174">
        <v>0</v>
      </c>
      <c r="G174">
        <v>0</v>
      </c>
      <c r="H174">
        <v>0</v>
      </c>
      <c r="I174">
        <v>0</v>
      </c>
      <c r="J174">
        <v>0</v>
      </c>
      <c r="K174">
        <v>0</v>
      </c>
      <c r="L174">
        <v>0</v>
      </c>
      <c r="M174">
        <v>0</v>
      </c>
      <c r="N174">
        <v>0</v>
      </c>
      <c r="O174">
        <v>0</v>
      </c>
      <c r="P174">
        <v>0</v>
      </c>
      <c r="Q174">
        <v>0</v>
      </c>
      <c r="R174">
        <v>0</v>
      </c>
      <c r="S174">
        <v>0</v>
      </c>
      <c r="T174">
        <v>0</v>
      </c>
      <c r="U174">
        <v>0</v>
      </c>
      <c r="V174">
        <v>0</v>
      </c>
    </row>
    <row r="175" spans="1:22" x14ac:dyDescent="0.25">
      <c r="A175" t="s">
        <v>196</v>
      </c>
      <c r="B175" t="s">
        <v>210</v>
      </c>
      <c r="C175" t="s">
        <v>4</v>
      </c>
      <c r="D175">
        <v>75</v>
      </c>
      <c r="E175">
        <v>0</v>
      </c>
      <c r="F175">
        <v>0</v>
      </c>
      <c r="G175">
        <v>0</v>
      </c>
      <c r="H175">
        <v>0</v>
      </c>
      <c r="I175">
        <v>0</v>
      </c>
      <c r="J175">
        <v>0</v>
      </c>
      <c r="K175">
        <v>0</v>
      </c>
      <c r="L175">
        <v>0</v>
      </c>
      <c r="M175">
        <v>0</v>
      </c>
      <c r="N175">
        <v>0</v>
      </c>
      <c r="O175">
        <v>0</v>
      </c>
      <c r="P175">
        <v>0</v>
      </c>
      <c r="Q175">
        <v>0</v>
      </c>
      <c r="R175">
        <v>0</v>
      </c>
      <c r="S175">
        <v>0</v>
      </c>
      <c r="T175">
        <v>0</v>
      </c>
      <c r="U175">
        <v>0</v>
      </c>
      <c r="V175">
        <v>0</v>
      </c>
    </row>
    <row r="176" spans="1:22" x14ac:dyDescent="0.25">
      <c r="A176" t="s">
        <v>211</v>
      </c>
      <c r="B176" t="s">
        <v>212</v>
      </c>
      <c r="C176" t="s">
        <v>4</v>
      </c>
      <c r="D176">
        <v>76</v>
      </c>
      <c r="E176">
        <v>0</v>
      </c>
      <c r="F176">
        <v>0</v>
      </c>
      <c r="G176">
        <v>0</v>
      </c>
      <c r="H176">
        <v>0</v>
      </c>
      <c r="I176">
        <v>0</v>
      </c>
      <c r="J176">
        <v>0</v>
      </c>
      <c r="K176">
        <v>0</v>
      </c>
      <c r="L176">
        <v>0</v>
      </c>
      <c r="M176">
        <v>0</v>
      </c>
      <c r="N176">
        <v>0</v>
      </c>
      <c r="O176">
        <v>0</v>
      </c>
      <c r="P176">
        <v>0</v>
      </c>
      <c r="Q176">
        <v>0</v>
      </c>
      <c r="R176">
        <v>0</v>
      </c>
      <c r="S176">
        <v>0</v>
      </c>
      <c r="T176">
        <v>0</v>
      </c>
      <c r="U176">
        <v>0</v>
      </c>
      <c r="V176">
        <v>0</v>
      </c>
    </row>
    <row r="177" spans="1:22" x14ac:dyDescent="0.25">
      <c r="A177" t="s">
        <v>211</v>
      </c>
      <c r="B177" t="s">
        <v>212</v>
      </c>
      <c r="C177" t="s">
        <v>318</v>
      </c>
      <c r="D177">
        <v>77</v>
      </c>
      <c r="E177">
        <v>-1262.36283703</v>
      </c>
      <c r="F177">
        <v>0</v>
      </c>
      <c r="G177">
        <v>0</v>
      </c>
      <c r="H177">
        <v>0</v>
      </c>
      <c r="I177">
        <v>-23.939998607</v>
      </c>
      <c r="J177">
        <v>23.939998607</v>
      </c>
      <c r="K177">
        <v>-1262.36283703</v>
      </c>
      <c r="L177">
        <v>0</v>
      </c>
      <c r="M177">
        <v>0</v>
      </c>
      <c r="N177">
        <v>0</v>
      </c>
      <c r="O177">
        <v>0</v>
      </c>
      <c r="P177">
        <v>0</v>
      </c>
      <c r="Q177">
        <v>0</v>
      </c>
      <c r="R177">
        <v>0</v>
      </c>
      <c r="S177">
        <v>0</v>
      </c>
      <c r="T177">
        <v>0</v>
      </c>
      <c r="U177">
        <v>0</v>
      </c>
      <c r="V177">
        <v>0</v>
      </c>
    </row>
    <row r="178" spans="1:22" x14ac:dyDescent="0.25">
      <c r="A178" t="s">
        <v>211</v>
      </c>
      <c r="B178" t="s">
        <v>214</v>
      </c>
      <c r="C178" t="s">
        <v>4</v>
      </c>
      <c r="D178">
        <v>78</v>
      </c>
      <c r="E178">
        <v>0</v>
      </c>
      <c r="F178">
        <v>0</v>
      </c>
      <c r="G178">
        <v>0</v>
      </c>
      <c r="H178">
        <v>0</v>
      </c>
      <c r="I178">
        <v>0</v>
      </c>
      <c r="J178">
        <v>0</v>
      </c>
      <c r="K178">
        <v>0</v>
      </c>
      <c r="L178">
        <v>0</v>
      </c>
      <c r="M178">
        <v>0</v>
      </c>
      <c r="N178">
        <v>0</v>
      </c>
      <c r="O178">
        <v>0</v>
      </c>
      <c r="P178">
        <v>0</v>
      </c>
      <c r="Q178">
        <v>0</v>
      </c>
      <c r="R178">
        <v>0</v>
      </c>
      <c r="S178">
        <v>0</v>
      </c>
      <c r="T178">
        <v>0</v>
      </c>
      <c r="U178">
        <v>0</v>
      </c>
      <c r="V178">
        <v>0</v>
      </c>
    </row>
    <row r="179" spans="1:22" x14ac:dyDescent="0.25">
      <c r="A179" t="s">
        <v>132</v>
      </c>
      <c r="B179" t="s">
        <v>140</v>
      </c>
      <c r="C179" t="s">
        <v>4</v>
      </c>
      <c r="D179">
        <v>8</v>
      </c>
      <c r="E179">
        <v>0</v>
      </c>
      <c r="F179">
        <v>0</v>
      </c>
      <c r="G179">
        <v>0</v>
      </c>
      <c r="H179">
        <v>0</v>
      </c>
      <c r="I179">
        <v>0</v>
      </c>
      <c r="J179">
        <v>0</v>
      </c>
      <c r="K179">
        <v>0</v>
      </c>
      <c r="L179">
        <v>0</v>
      </c>
      <c r="M179">
        <v>0</v>
      </c>
      <c r="N179">
        <v>0</v>
      </c>
      <c r="O179">
        <v>0</v>
      </c>
      <c r="P179">
        <v>0</v>
      </c>
      <c r="Q179">
        <v>0</v>
      </c>
      <c r="R179">
        <v>0</v>
      </c>
      <c r="S179">
        <v>0</v>
      </c>
      <c r="T179">
        <v>0</v>
      </c>
      <c r="U179">
        <v>0</v>
      </c>
      <c r="V179">
        <v>0</v>
      </c>
    </row>
    <row r="180" spans="1:22" x14ac:dyDescent="0.25">
      <c r="A180" t="s">
        <v>211</v>
      </c>
      <c r="B180" t="s">
        <v>216</v>
      </c>
      <c r="C180" t="s">
        <v>4</v>
      </c>
      <c r="D180">
        <v>80</v>
      </c>
      <c r="E180">
        <v>0</v>
      </c>
      <c r="F180">
        <v>0</v>
      </c>
      <c r="G180">
        <v>0</v>
      </c>
      <c r="H180">
        <v>0</v>
      </c>
      <c r="I180">
        <v>0</v>
      </c>
      <c r="J180">
        <v>0</v>
      </c>
      <c r="K180">
        <v>0</v>
      </c>
      <c r="L180">
        <v>0</v>
      </c>
      <c r="M180">
        <v>0</v>
      </c>
      <c r="N180">
        <v>0</v>
      </c>
      <c r="O180">
        <v>0</v>
      </c>
      <c r="P180">
        <v>0</v>
      </c>
      <c r="Q180">
        <v>0</v>
      </c>
      <c r="R180">
        <v>0</v>
      </c>
      <c r="S180">
        <v>0</v>
      </c>
      <c r="T180">
        <v>0</v>
      </c>
      <c r="U180">
        <v>0</v>
      </c>
      <c r="V180">
        <v>0</v>
      </c>
    </row>
    <row r="181" spans="1:22" x14ac:dyDescent="0.25">
      <c r="A181" t="s">
        <v>211</v>
      </c>
      <c r="B181" t="s">
        <v>216</v>
      </c>
      <c r="C181" t="s">
        <v>318</v>
      </c>
      <c r="D181">
        <v>81</v>
      </c>
      <c r="E181">
        <v>-1730.0269200360001</v>
      </c>
      <c r="F181">
        <v>0</v>
      </c>
      <c r="G181">
        <v>0</v>
      </c>
      <c r="H181">
        <v>0</v>
      </c>
      <c r="I181">
        <v>-56.599197295000003</v>
      </c>
      <c r="J181">
        <v>56.599197295000003</v>
      </c>
      <c r="K181">
        <v>-1730.0269200360001</v>
      </c>
      <c r="L181">
        <v>0</v>
      </c>
      <c r="M181">
        <v>0</v>
      </c>
      <c r="N181">
        <v>0</v>
      </c>
      <c r="O181">
        <v>0</v>
      </c>
      <c r="P181">
        <v>0</v>
      </c>
      <c r="Q181">
        <v>0</v>
      </c>
      <c r="R181">
        <v>0</v>
      </c>
      <c r="S181">
        <v>0</v>
      </c>
      <c r="T181">
        <v>0</v>
      </c>
      <c r="U181">
        <v>0</v>
      </c>
      <c r="V181">
        <v>0</v>
      </c>
    </row>
    <row r="182" spans="1:22" x14ac:dyDescent="0.25">
      <c r="A182" t="s">
        <v>218</v>
      </c>
      <c r="B182" t="s">
        <v>219</v>
      </c>
      <c r="C182" t="s">
        <v>4</v>
      </c>
      <c r="D182">
        <v>82</v>
      </c>
      <c r="E182">
        <v>34215893.482274599</v>
      </c>
      <c r="F182">
        <v>-672459.68423527805</v>
      </c>
      <c r="G182">
        <v>847908.00000028801</v>
      </c>
      <c r="H182">
        <v>3.3319263889999999</v>
      </c>
      <c r="I182">
        <v>848141.61919757805</v>
      </c>
      <c r="J182">
        <v>1024.1069302389999</v>
      </c>
      <c r="K182">
        <v>5726.3851544520003</v>
      </c>
      <c r="L182">
        <v>0</v>
      </c>
      <c r="M182">
        <v>0</v>
      </c>
      <c r="N182">
        <v>0</v>
      </c>
      <c r="O182">
        <v>0</v>
      </c>
      <c r="P182">
        <v>0</v>
      </c>
      <c r="Q182">
        <v>2.5775962950000002</v>
      </c>
      <c r="R182">
        <v>0</v>
      </c>
      <c r="S182">
        <v>-138.92878340999999</v>
      </c>
      <c r="T182">
        <v>0</v>
      </c>
      <c r="U182">
        <v>0</v>
      </c>
      <c r="V182">
        <v>-672198.11379336601</v>
      </c>
    </row>
    <row r="183" spans="1:22" x14ac:dyDescent="0.25">
      <c r="A183" t="s">
        <v>218</v>
      </c>
      <c r="B183" t="s">
        <v>220</v>
      </c>
      <c r="C183" t="s">
        <v>4</v>
      </c>
      <c r="D183">
        <v>83</v>
      </c>
      <c r="E183">
        <v>33898669.227089502</v>
      </c>
      <c r="F183">
        <v>-330.30999818399999</v>
      </c>
      <c r="G183">
        <v>837007.20000028796</v>
      </c>
      <c r="H183">
        <v>5.8872708219999996</v>
      </c>
      <c r="I183">
        <v>837235.72872097394</v>
      </c>
      <c r="J183">
        <v>1210.0078903860001</v>
      </c>
      <c r="K183">
        <v>2213.4217245159998</v>
      </c>
      <c r="L183">
        <v>0</v>
      </c>
      <c r="M183">
        <v>0</v>
      </c>
      <c r="N183">
        <v>0</v>
      </c>
      <c r="O183">
        <v>0</v>
      </c>
      <c r="P183">
        <v>0</v>
      </c>
      <c r="Q183">
        <v>2.5055754E-2</v>
      </c>
      <c r="R183">
        <v>0</v>
      </c>
      <c r="S183">
        <v>-190.37766486999999</v>
      </c>
      <c r="T183">
        <v>0</v>
      </c>
      <c r="U183">
        <v>0</v>
      </c>
      <c r="V183">
        <v>0</v>
      </c>
    </row>
    <row r="184" spans="1:22" x14ac:dyDescent="0.25">
      <c r="A184" t="s">
        <v>221</v>
      </c>
      <c r="B184" t="s">
        <v>222</v>
      </c>
      <c r="C184" t="s">
        <v>4</v>
      </c>
      <c r="D184">
        <v>84</v>
      </c>
      <c r="E184">
        <v>1190989.9382948801</v>
      </c>
      <c r="F184">
        <v>-52874.442742250998</v>
      </c>
      <c r="G184">
        <v>14978.050003054999</v>
      </c>
      <c r="H184">
        <v>10281.564933401</v>
      </c>
      <c r="I184">
        <v>25262.466233814001</v>
      </c>
      <c r="J184">
        <v>1132.8505962439999</v>
      </c>
      <c r="K184">
        <v>-9203.8178213120009</v>
      </c>
      <c r="L184">
        <v>0</v>
      </c>
      <c r="M184">
        <v>0</v>
      </c>
      <c r="N184">
        <v>0</v>
      </c>
      <c r="O184">
        <v>0</v>
      </c>
      <c r="P184">
        <v>0</v>
      </c>
      <c r="Q184">
        <v>-858.92305593200001</v>
      </c>
      <c r="R184">
        <v>0</v>
      </c>
      <c r="S184">
        <v>-50.787137915999999</v>
      </c>
      <c r="T184">
        <v>0</v>
      </c>
      <c r="U184">
        <v>0</v>
      </c>
      <c r="V184">
        <v>-51625.175270537999</v>
      </c>
    </row>
    <row r="185" spans="1:22" x14ac:dyDescent="0.25">
      <c r="A185" t="s">
        <v>221</v>
      </c>
      <c r="B185" t="s">
        <v>223</v>
      </c>
      <c r="C185" t="s">
        <v>4</v>
      </c>
      <c r="D185">
        <v>85</v>
      </c>
      <c r="E185">
        <v>1155186.78396164</v>
      </c>
      <c r="F185">
        <v>-29092.451642443</v>
      </c>
      <c r="G185">
        <v>13064.950000632</v>
      </c>
      <c r="H185">
        <v>11711.394972755999</v>
      </c>
      <c r="I185">
        <v>24256.450324606001</v>
      </c>
      <c r="J185">
        <v>1185.4598386089999</v>
      </c>
      <c r="K185">
        <v>-25319.003835300999</v>
      </c>
      <c r="L185">
        <v>0</v>
      </c>
      <c r="M185">
        <v>0</v>
      </c>
      <c r="N185">
        <v>0</v>
      </c>
      <c r="O185">
        <v>0</v>
      </c>
      <c r="P185">
        <v>0</v>
      </c>
      <c r="Q185">
        <v>-240.24798090300001</v>
      </c>
      <c r="R185">
        <v>0</v>
      </c>
      <c r="S185">
        <v>45.766619396999999</v>
      </c>
      <c r="T185">
        <v>0</v>
      </c>
      <c r="U185">
        <v>0</v>
      </c>
      <c r="V185">
        <v>-28291.182678035999</v>
      </c>
    </row>
    <row r="186" spans="1:22" x14ac:dyDescent="0.25">
      <c r="A186" t="s">
        <v>221</v>
      </c>
      <c r="B186" t="s">
        <v>224</v>
      </c>
      <c r="C186" t="s">
        <v>4</v>
      </c>
      <c r="D186">
        <v>86</v>
      </c>
      <c r="E186">
        <v>11550030.258617301</v>
      </c>
      <c r="F186">
        <v>-471616.95042590401</v>
      </c>
      <c r="G186">
        <v>262069.130001012</v>
      </c>
      <c r="H186">
        <v>-17767.109935861001</v>
      </c>
      <c r="I186">
        <v>245149.478418443</v>
      </c>
      <c r="J186">
        <v>4069.6127762219999</v>
      </c>
      <c r="K186">
        <v>-18748.230872855998</v>
      </c>
      <c r="L186">
        <v>7781.1053578499996</v>
      </c>
      <c r="M186">
        <v>0</v>
      </c>
      <c r="N186">
        <v>0</v>
      </c>
      <c r="O186">
        <v>0</v>
      </c>
      <c r="P186">
        <v>-1100.446976016</v>
      </c>
      <c r="Q186">
        <v>-10860.572732532</v>
      </c>
      <c r="R186">
        <v>12574.799177610001</v>
      </c>
      <c r="S186">
        <v>-130.01116161300001</v>
      </c>
      <c r="T186">
        <v>0</v>
      </c>
      <c r="U186">
        <v>0</v>
      </c>
      <c r="V186">
        <v>-479065.14032346598</v>
      </c>
    </row>
    <row r="187" spans="1:22" x14ac:dyDescent="0.25">
      <c r="A187" t="s">
        <v>221</v>
      </c>
      <c r="B187" t="s">
        <v>225</v>
      </c>
      <c r="C187" t="s">
        <v>4</v>
      </c>
      <c r="D187">
        <v>87</v>
      </c>
      <c r="E187">
        <v>10301499.8709128</v>
      </c>
      <c r="F187">
        <v>-359008.72608168097</v>
      </c>
      <c r="G187">
        <v>288217.71999898303</v>
      </c>
      <c r="H187">
        <v>-27121.841160393</v>
      </c>
      <c r="I187">
        <v>262498.222192802</v>
      </c>
      <c r="J187">
        <v>3766.7926251980002</v>
      </c>
      <c r="K187">
        <v>61343.254845636999</v>
      </c>
      <c r="L187">
        <v>11657.460540675</v>
      </c>
      <c r="M187">
        <v>0</v>
      </c>
      <c r="N187">
        <v>3291.2647450250001</v>
      </c>
      <c r="O187">
        <v>89935.417648325005</v>
      </c>
      <c r="P187">
        <v>-2427.6392481970001</v>
      </c>
      <c r="Q187">
        <v>4439.634774401</v>
      </c>
      <c r="R187">
        <v>1200.564137799</v>
      </c>
      <c r="S187">
        <v>-150.177230167</v>
      </c>
      <c r="T187">
        <v>0</v>
      </c>
      <c r="U187">
        <v>0</v>
      </c>
      <c r="V187">
        <v>-466539.034309746</v>
      </c>
    </row>
    <row r="188" spans="1:22" x14ac:dyDescent="0.25">
      <c r="A188" t="s">
        <v>226</v>
      </c>
      <c r="B188" t="s">
        <v>227</v>
      </c>
      <c r="C188" t="s">
        <v>4</v>
      </c>
      <c r="D188">
        <v>88</v>
      </c>
      <c r="E188">
        <v>110715.69655096201</v>
      </c>
      <c r="F188">
        <v>-24.434093425</v>
      </c>
      <c r="G188">
        <v>4115.0100012359999</v>
      </c>
      <c r="H188">
        <v>-163.342992796</v>
      </c>
      <c r="I188">
        <v>3954.824896092</v>
      </c>
      <c r="J188">
        <v>285.21431588899998</v>
      </c>
      <c r="K188">
        <v>-885.47166292999998</v>
      </c>
      <c r="L188">
        <v>0</v>
      </c>
      <c r="M188">
        <v>0</v>
      </c>
      <c r="N188">
        <v>0</v>
      </c>
      <c r="O188">
        <v>0</v>
      </c>
      <c r="P188">
        <v>0</v>
      </c>
      <c r="Q188">
        <v>102.040660368</v>
      </c>
      <c r="R188">
        <v>0</v>
      </c>
      <c r="S188">
        <v>-105.963594461</v>
      </c>
      <c r="T188">
        <v>0</v>
      </c>
      <c r="U188">
        <v>0</v>
      </c>
      <c r="V188">
        <v>0</v>
      </c>
    </row>
    <row r="189" spans="1:22" x14ac:dyDescent="0.25">
      <c r="A189" t="s">
        <v>226</v>
      </c>
      <c r="B189" t="s">
        <v>228</v>
      </c>
      <c r="C189" t="s">
        <v>4</v>
      </c>
      <c r="D189">
        <v>89</v>
      </c>
      <c r="E189">
        <v>66794.344296030002</v>
      </c>
      <c r="F189">
        <v>-58.981948875</v>
      </c>
      <c r="G189">
        <v>2502.79000116</v>
      </c>
      <c r="H189">
        <v>-105.946107189</v>
      </c>
      <c r="I189">
        <v>2416.499709403</v>
      </c>
      <c r="J189">
        <v>223.45451446499999</v>
      </c>
      <c r="K189">
        <v>-1134.740692356</v>
      </c>
      <c r="L189">
        <v>0</v>
      </c>
      <c r="M189">
        <v>0</v>
      </c>
      <c r="N189">
        <v>0</v>
      </c>
      <c r="O189">
        <v>0</v>
      </c>
      <c r="P189">
        <v>0</v>
      </c>
      <c r="Q189">
        <v>30.226046183000001</v>
      </c>
      <c r="R189">
        <v>0</v>
      </c>
      <c r="S189">
        <v>-68.493566448999999</v>
      </c>
      <c r="T189">
        <v>0</v>
      </c>
      <c r="U189">
        <v>0</v>
      </c>
      <c r="V189">
        <v>0</v>
      </c>
    </row>
    <row r="190" spans="1:22" x14ac:dyDescent="0.25">
      <c r="A190" t="s">
        <v>132</v>
      </c>
      <c r="B190" t="s">
        <v>141</v>
      </c>
      <c r="C190" t="s">
        <v>4</v>
      </c>
      <c r="D190">
        <v>9</v>
      </c>
      <c r="E190">
        <v>1438489.9613387799</v>
      </c>
      <c r="F190">
        <v>136740.309482813</v>
      </c>
      <c r="G190">
        <v>32096.479998671999</v>
      </c>
      <c r="H190">
        <v>-1219.8298874049999</v>
      </c>
      <c r="I190">
        <v>31075.784202158</v>
      </c>
      <c r="J190">
        <v>1549.4590749250001</v>
      </c>
      <c r="K190">
        <v>-4349.7672731310004</v>
      </c>
      <c r="L190">
        <v>62519.285462300002</v>
      </c>
      <c r="M190">
        <v>0</v>
      </c>
      <c r="N190">
        <v>32154.693981125001</v>
      </c>
      <c r="O190">
        <v>45425.971127750003</v>
      </c>
      <c r="P190">
        <v>-5170.8199049559998</v>
      </c>
      <c r="Q190">
        <v>-2007.86935068</v>
      </c>
      <c r="R190">
        <v>3922.7669222330001</v>
      </c>
      <c r="S190">
        <v>-83.144512121999995</v>
      </c>
      <c r="T190">
        <v>0</v>
      </c>
      <c r="U190">
        <v>0</v>
      </c>
      <c r="V190">
        <v>0</v>
      </c>
    </row>
    <row r="191" spans="1:22" x14ac:dyDescent="0.25">
      <c r="A191" t="s">
        <v>226</v>
      </c>
      <c r="B191" t="s">
        <v>229</v>
      </c>
      <c r="C191" t="s">
        <v>4</v>
      </c>
      <c r="D191">
        <v>90</v>
      </c>
      <c r="E191">
        <v>107910.077928959</v>
      </c>
      <c r="F191">
        <v>-64.207912136999994</v>
      </c>
      <c r="G191">
        <v>4143.8900012040003</v>
      </c>
      <c r="H191">
        <v>-263.06977394</v>
      </c>
      <c r="I191">
        <v>3808.3030564589999</v>
      </c>
      <c r="J191">
        <v>301.29775308699999</v>
      </c>
      <c r="K191">
        <v>-2062.1336524540002</v>
      </c>
      <c r="L191">
        <v>0</v>
      </c>
      <c r="M191">
        <v>0</v>
      </c>
      <c r="N191">
        <v>0</v>
      </c>
      <c r="O191">
        <v>0</v>
      </c>
      <c r="P191">
        <v>0</v>
      </c>
      <c r="Q191">
        <v>95.735607380999994</v>
      </c>
      <c r="R191">
        <v>0</v>
      </c>
      <c r="S191">
        <v>-146.338938251</v>
      </c>
      <c r="T191">
        <v>0</v>
      </c>
      <c r="U191">
        <v>0</v>
      </c>
      <c r="V191">
        <v>0</v>
      </c>
    </row>
    <row r="192" spans="1:22" x14ac:dyDescent="0.25">
      <c r="A192" t="s">
        <v>226</v>
      </c>
      <c r="B192" t="s">
        <v>230</v>
      </c>
      <c r="C192" t="s">
        <v>4</v>
      </c>
      <c r="D192">
        <v>91</v>
      </c>
      <c r="E192">
        <v>99061.990998698006</v>
      </c>
      <c r="F192">
        <v>31.884048881999998</v>
      </c>
      <c r="G192">
        <v>3890.6000011320002</v>
      </c>
      <c r="H192">
        <v>-347.92190267000001</v>
      </c>
      <c r="I192">
        <v>3533.5012750300002</v>
      </c>
      <c r="J192">
        <v>308.77370870599998</v>
      </c>
      <c r="K192">
        <v>-1450.5941540470001</v>
      </c>
      <c r="L192">
        <v>0</v>
      </c>
      <c r="M192">
        <v>0</v>
      </c>
      <c r="N192">
        <v>0</v>
      </c>
      <c r="O192">
        <v>0</v>
      </c>
      <c r="P192">
        <v>0</v>
      </c>
      <c r="Q192">
        <v>165.22852702500001</v>
      </c>
      <c r="R192">
        <v>0</v>
      </c>
      <c r="S192">
        <v>-115.34623462099999</v>
      </c>
      <c r="T192">
        <v>0</v>
      </c>
      <c r="U192">
        <v>0</v>
      </c>
      <c r="V192">
        <v>0</v>
      </c>
    </row>
    <row r="193" spans="1:22" x14ac:dyDescent="0.25">
      <c r="A193" t="s">
        <v>226</v>
      </c>
      <c r="B193" t="s">
        <v>231</v>
      </c>
      <c r="C193" t="s">
        <v>4</v>
      </c>
      <c r="D193">
        <v>92</v>
      </c>
      <c r="E193">
        <v>32799.229581795997</v>
      </c>
      <c r="F193">
        <v>-0.96827046500000002</v>
      </c>
      <c r="G193">
        <v>1956.960001188</v>
      </c>
      <c r="H193">
        <v>-111.058016569</v>
      </c>
      <c r="I193">
        <v>1925.8982935449999</v>
      </c>
      <c r="J193">
        <v>168.49023212500001</v>
      </c>
      <c r="K193">
        <v>-976.87572341700002</v>
      </c>
      <c r="L193">
        <v>0</v>
      </c>
      <c r="M193">
        <v>0</v>
      </c>
      <c r="N193">
        <v>0</v>
      </c>
      <c r="O193">
        <v>0</v>
      </c>
      <c r="P193">
        <v>0</v>
      </c>
      <c r="Q193">
        <v>38.702830884000001</v>
      </c>
      <c r="R193">
        <v>0</v>
      </c>
      <c r="S193">
        <v>-33.037690142000002</v>
      </c>
      <c r="T193">
        <v>0</v>
      </c>
      <c r="U193">
        <v>0</v>
      </c>
      <c r="V193">
        <v>0</v>
      </c>
    </row>
    <row r="194" spans="1:22" x14ac:dyDescent="0.25">
      <c r="A194" t="s">
        <v>226</v>
      </c>
      <c r="B194" t="s">
        <v>232</v>
      </c>
      <c r="C194" t="s">
        <v>4</v>
      </c>
      <c r="D194">
        <v>93</v>
      </c>
      <c r="E194">
        <v>105029.29360108799</v>
      </c>
      <c r="F194">
        <v>-32.581115472999997</v>
      </c>
      <c r="G194">
        <v>3973.1000012159998</v>
      </c>
      <c r="H194">
        <v>-230.164310242</v>
      </c>
      <c r="I194">
        <v>3739.0995846010001</v>
      </c>
      <c r="J194">
        <v>283.73983226299998</v>
      </c>
      <c r="K194">
        <v>-835.89107733699996</v>
      </c>
      <c r="L194">
        <v>0</v>
      </c>
      <c r="M194">
        <v>0</v>
      </c>
      <c r="N194">
        <v>0</v>
      </c>
      <c r="O194">
        <v>0</v>
      </c>
      <c r="P194">
        <v>0</v>
      </c>
      <c r="Q194">
        <v>92.983505364999999</v>
      </c>
      <c r="R194">
        <v>0</v>
      </c>
      <c r="S194">
        <v>-112.50864226100001</v>
      </c>
      <c r="T194">
        <v>0</v>
      </c>
      <c r="U194">
        <v>0</v>
      </c>
      <c r="V194">
        <v>0</v>
      </c>
    </row>
    <row r="195" spans="1:22" x14ac:dyDescent="0.25">
      <c r="A195" t="s">
        <v>226</v>
      </c>
      <c r="B195" t="s">
        <v>233</v>
      </c>
      <c r="C195" t="s">
        <v>4</v>
      </c>
      <c r="D195">
        <v>94</v>
      </c>
      <c r="E195">
        <v>99732.959960786</v>
      </c>
      <c r="F195">
        <v>-71.614895703000002</v>
      </c>
      <c r="G195">
        <v>3795.1000011840001</v>
      </c>
      <c r="H195">
        <v>-166.42234780499999</v>
      </c>
      <c r="I195">
        <v>3639.9323156340001</v>
      </c>
      <c r="J195">
        <v>324.05171455599998</v>
      </c>
      <c r="K195">
        <v>-2957.8938922910002</v>
      </c>
      <c r="L195">
        <v>0</v>
      </c>
      <c r="M195">
        <v>0</v>
      </c>
      <c r="N195">
        <v>0</v>
      </c>
      <c r="O195">
        <v>0</v>
      </c>
      <c r="P195">
        <v>0</v>
      </c>
      <c r="Q195">
        <v>64.972360808999994</v>
      </c>
      <c r="R195">
        <v>0</v>
      </c>
      <c r="S195">
        <v>-106.186259226</v>
      </c>
      <c r="T195">
        <v>0</v>
      </c>
      <c r="U195">
        <v>0</v>
      </c>
      <c r="V195">
        <v>0</v>
      </c>
    </row>
    <row r="196" spans="1:22" x14ac:dyDescent="0.25">
      <c r="A196" t="s">
        <v>226</v>
      </c>
      <c r="B196" t="s">
        <v>234</v>
      </c>
      <c r="C196" t="s">
        <v>4</v>
      </c>
      <c r="D196">
        <v>95</v>
      </c>
      <c r="E196">
        <v>11283.136523552999</v>
      </c>
      <c r="F196">
        <v>-18.559841170999999</v>
      </c>
      <c r="G196">
        <v>382.699998768</v>
      </c>
      <c r="H196">
        <v>5.4002608969999999</v>
      </c>
      <c r="I196">
        <v>380.376293019</v>
      </c>
      <c r="J196">
        <v>33.100009874999998</v>
      </c>
      <c r="K196">
        <v>-374.63697997399998</v>
      </c>
      <c r="L196">
        <v>0</v>
      </c>
      <c r="M196">
        <v>0</v>
      </c>
      <c r="N196">
        <v>0</v>
      </c>
      <c r="O196">
        <v>0</v>
      </c>
      <c r="P196">
        <v>0</v>
      </c>
      <c r="Q196">
        <v>-1.3233933529999999</v>
      </c>
      <c r="R196">
        <v>0</v>
      </c>
      <c r="S196">
        <v>-15.884698650000001</v>
      </c>
      <c r="T196">
        <v>0</v>
      </c>
      <c r="U196">
        <v>0</v>
      </c>
      <c r="V196">
        <v>0</v>
      </c>
    </row>
    <row r="197" spans="1:22" x14ac:dyDescent="0.25">
      <c r="A197" t="s">
        <v>226</v>
      </c>
      <c r="B197" t="s">
        <v>235</v>
      </c>
      <c r="C197" t="s">
        <v>4</v>
      </c>
      <c r="D197">
        <v>96</v>
      </c>
      <c r="E197">
        <v>57231.968079580998</v>
      </c>
      <c r="F197">
        <v>-22.172030791000001</v>
      </c>
      <c r="G197">
        <v>2195.4700012080002</v>
      </c>
      <c r="H197">
        <v>-128.203216242</v>
      </c>
      <c r="I197">
        <v>2042.369519888</v>
      </c>
      <c r="J197">
        <v>152.62189609199999</v>
      </c>
      <c r="K197">
        <v>-795.62733251899999</v>
      </c>
      <c r="L197">
        <v>0</v>
      </c>
      <c r="M197">
        <v>0</v>
      </c>
      <c r="N197">
        <v>0</v>
      </c>
      <c r="O197">
        <v>0</v>
      </c>
      <c r="P197">
        <v>0</v>
      </c>
      <c r="Q197">
        <v>53.067098803999997</v>
      </c>
      <c r="R197">
        <v>0</v>
      </c>
      <c r="S197">
        <v>-68.043215215000004</v>
      </c>
      <c r="T197">
        <v>0</v>
      </c>
      <c r="U197">
        <v>0</v>
      </c>
      <c r="V197">
        <v>0</v>
      </c>
    </row>
    <row r="198" spans="1:22" x14ac:dyDescent="0.25">
      <c r="A198" t="s">
        <v>226</v>
      </c>
      <c r="B198" t="s">
        <v>236</v>
      </c>
      <c r="C198" t="s">
        <v>4</v>
      </c>
      <c r="D198">
        <v>97</v>
      </c>
      <c r="E198">
        <v>69188.327252016999</v>
      </c>
      <c r="F198">
        <v>-22.673350497000001</v>
      </c>
      <c r="G198">
        <v>2636.7600011280001</v>
      </c>
      <c r="H198">
        <v>-85.633154504999993</v>
      </c>
      <c r="I198">
        <v>2524.7674146539998</v>
      </c>
      <c r="J198">
        <v>233.30866605200001</v>
      </c>
      <c r="K198">
        <v>-2265.3047018120001</v>
      </c>
      <c r="L198">
        <v>0</v>
      </c>
      <c r="M198">
        <v>0</v>
      </c>
      <c r="N198">
        <v>0</v>
      </c>
      <c r="O198">
        <v>0</v>
      </c>
      <c r="P198">
        <v>0</v>
      </c>
      <c r="Q198">
        <v>90.875271658000003</v>
      </c>
      <c r="R198">
        <v>0</v>
      </c>
      <c r="S198">
        <v>-57.411471237000001</v>
      </c>
      <c r="T198">
        <v>0</v>
      </c>
      <c r="U198">
        <v>0</v>
      </c>
      <c r="V198">
        <v>0</v>
      </c>
    </row>
    <row r="199" spans="1:22" x14ac:dyDescent="0.25">
      <c r="A199" t="s">
        <v>237</v>
      </c>
      <c r="B199" t="s">
        <v>238</v>
      </c>
      <c r="C199" t="s">
        <v>4</v>
      </c>
      <c r="D199">
        <v>98</v>
      </c>
      <c r="E199">
        <v>23682.286309659001</v>
      </c>
      <c r="F199">
        <v>-25.233744218999998</v>
      </c>
      <c r="G199">
        <v>691.96000029599998</v>
      </c>
      <c r="H199">
        <v>-42.708073626000001</v>
      </c>
      <c r="I199">
        <v>627.95699999999999</v>
      </c>
      <c r="J199">
        <v>68.376248571999994</v>
      </c>
      <c r="K199">
        <v>-2195.3606691670002</v>
      </c>
      <c r="L199">
        <v>0</v>
      </c>
      <c r="M199">
        <v>0</v>
      </c>
      <c r="N199">
        <v>0</v>
      </c>
      <c r="O199">
        <v>0</v>
      </c>
      <c r="P199">
        <v>0</v>
      </c>
      <c r="Q199">
        <v>1.0941087039999999</v>
      </c>
      <c r="R199">
        <v>0</v>
      </c>
      <c r="S199">
        <v>8.8499123629999996</v>
      </c>
      <c r="T199">
        <v>0</v>
      </c>
      <c r="U199">
        <v>0</v>
      </c>
      <c r="V199">
        <v>0</v>
      </c>
    </row>
    <row r="200" spans="1:22" x14ac:dyDescent="0.25">
      <c r="A200" t="s">
        <v>237</v>
      </c>
      <c r="B200" t="s">
        <v>239</v>
      </c>
      <c r="C200" t="s">
        <v>4</v>
      </c>
      <c r="D200">
        <v>99</v>
      </c>
      <c r="E200">
        <v>5165.0475653809999</v>
      </c>
      <c r="F200">
        <v>-4.4528515390000001</v>
      </c>
      <c r="G200">
        <v>125.240000016</v>
      </c>
      <c r="H200">
        <v>0</v>
      </c>
      <c r="I200">
        <v>118.426</v>
      </c>
      <c r="J200">
        <v>7.8131250100000003</v>
      </c>
      <c r="K200">
        <v>-282.50348076400002</v>
      </c>
      <c r="L200">
        <v>0</v>
      </c>
      <c r="M200">
        <v>0</v>
      </c>
      <c r="N200">
        <v>0</v>
      </c>
      <c r="O200">
        <v>0</v>
      </c>
      <c r="P200">
        <v>0</v>
      </c>
      <c r="Q200">
        <v>-4.0974108000000002E-2</v>
      </c>
      <c r="R200">
        <v>0</v>
      </c>
      <c r="S200">
        <v>-0.81640051999999996</v>
      </c>
      <c r="T200">
        <v>0</v>
      </c>
      <c r="U200">
        <v>0</v>
      </c>
      <c r="V200">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102"/>
  <sheetViews>
    <sheetView topLeftCell="A7" workbookViewId="0">
      <selection activeCell="B106" sqref="B106"/>
    </sheetView>
  </sheetViews>
  <sheetFormatPr defaultRowHeight="15" x14ac:dyDescent="0.25"/>
  <cols>
    <col min="1" max="1" width="18.7109375" style="33" bestFit="1" customWidth="1"/>
    <col min="2" max="2" width="24.85546875" style="33" bestFit="1" customWidth="1"/>
    <col min="3" max="3" width="35.140625" style="33" bestFit="1" customWidth="1"/>
    <col min="4" max="4" width="14" style="33" bestFit="1" customWidth="1"/>
    <col min="5" max="5" width="7.5703125" style="33" bestFit="1" customWidth="1"/>
    <col min="6" max="6" width="5.140625" style="33" bestFit="1" customWidth="1"/>
    <col min="7" max="8" width="6.5703125" style="33" bestFit="1" customWidth="1"/>
    <col min="9" max="9" width="9.140625" style="6"/>
    <col min="10" max="10" width="88.5703125" style="91" bestFit="1" customWidth="1"/>
    <col min="11" max="11" width="22.85546875" style="91" bestFit="1" customWidth="1"/>
    <col min="12" max="16384" width="9.140625" style="6"/>
  </cols>
  <sheetData>
    <row r="1" spans="1:11" x14ac:dyDescent="0.25">
      <c r="A1" s="32" t="s">
        <v>49</v>
      </c>
      <c r="B1" s="32" t="s">
        <v>240</v>
      </c>
      <c r="C1" s="32" t="s">
        <v>50</v>
      </c>
      <c r="D1" s="32" t="s">
        <v>51</v>
      </c>
      <c r="E1" s="32" t="s">
        <v>52</v>
      </c>
      <c r="F1" s="32" t="s">
        <v>53</v>
      </c>
      <c r="G1" s="32" t="s">
        <v>32</v>
      </c>
      <c r="H1" s="32" t="s">
        <v>54</v>
      </c>
      <c r="J1" s="90" t="s">
        <v>55</v>
      </c>
      <c r="K1" s="90" t="s">
        <v>55</v>
      </c>
    </row>
    <row r="2" spans="1:11" x14ac:dyDescent="0.25">
      <c r="A2" s="33" t="s">
        <v>241</v>
      </c>
      <c r="B2" s="33" t="s">
        <v>132</v>
      </c>
      <c r="C2" s="33" t="s">
        <v>133</v>
      </c>
      <c r="D2" s="34" t="s">
        <v>4</v>
      </c>
      <c r="E2" s="35">
        <v>1</v>
      </c>
      <c r="F2" s="35" t="s">
        <v>56</v>
      </c>
      <c r="G2" s="35">
        <v>8.5</v>
      </c>
      <c r="H2" s="33" t="s">
        <v>57</v>
      </c>
      <c r="J2" s="91" t="str">
        <f>"WHEN resource_name = "&amp;A2&amp;" THEN '"&amp;B2&amp;C2&amp;D2&amp;"'"</f>
        <v>WHEN resource_name = HATCR1_7_UNIT THEN 'Shasta - HydroHat Creek 1GEN'</v>
      </c>
      <c r="K2" s="91" t="str">
        <f t="shared" ref="K2:K41" si="0">" '"&amp;A2&amp;"', "</f>
        <v xml:space="preserve"> 'HATCR1_7_UNIT', </v>
      </c>
    </row>
    <row r="3" spans="1:11" x14ac:dyDescent="0.25">
      <c r="A3" s="33" t="s">
        <v>242</v>
      </c>
      <c r="B3" s="33" t="s">
        <v>132</v>
      </c>
      <c r="C3" s="33" t="s">
        <v>134</v>
      </c>
      <c r="D3" s="34" t="s">
        <v>4</v>
      </c>
      <c r="E3" s="35">
        <v>2</v>
      </c>
      <c r="F3" s="35" t="s">
        <v>56</v>
      </c>
      <c r="G3" s="35">
        <v>8.5</v>
      </c>
      <c r="H3" s="33" t="s">
        <v>57</v>
      </c>
      <c r="J3" s="91" t="str">
        <f t="shared" ref="J3:J41" si="1">"WHEN resource_name = "&amp;A3&amp;" THEN '"&amp;B3&amp;C3&amp;D3&amp;"'"</f>
        <v>WHEN resource_name = HATCR2_7_UNIT THEN 'Shasta - HydroHat Creek 2GEN'</v>
      </c>
      <c r="K3" s="91" t="str">
        <f t="shared" si="0"/>
        <v xml:space="preserve"> 'HATCR2_7_UNIT', </v>
      </c>
    </row>
    <row r="4" spans="1:11" x14ac:dyDescent="0.25">
      <c r="A4" s="33" t="s">
        <v>243</v>
      </c>
      <c r="B4" s="33" t="s">
        <v>132</v>
      </c>
      <c r="C4" s="33" t="s">
        <v>135</v>
      </c>
      <c r="D4" s="34" t="s">
        <v>4</v>
      </c>
      <c r="E4" s="35">
        <v>3</v>
      </c>
      <c r="F4" s="35" t="s">
        <v>244</v>
      </c>
      <c r="G4" s="35">
        <v>32</v>
      </c>
      <c r="H4" s="33" t="s">
        <v>57</v>
      </c>
      <c r="J4" s="91" t="str">
        <f t="shared" si="1"/>
        <v>WHEN resource_name = PIT1_7_UNIT 1 THEN 'Shasta - HydroPit 1 U1GEN'</v>
      </c>
      <c r="K4" s="91" t="str">
        <f t="shared" si="0"/>
        <v xml:space="preserve"> 'PIT1_7_UNIT 1', </v>
      </c>
    </row>
    <row r="5" spans="1:11" x14ac:dyDescent="0.25">
      <c r="A5" s="36" t="s">
        <v>245</v>
      </c>
      <c r="B5" s="33" t="s">
        <v>132</v>
      </c>
      <c r="C5" s="33" t="s">
        <v>136</v>
      </c>
      <c r="D5" s="34" t="s">
        <v>4</v>
      </c>
      <c r="E5" s="35">
        <v>4</v>
      </c>
      <c r="F5" s="35" t="s">
        <v>244</v>
      </c>
      <c r="G5" s="35">
        <v>32</v>
      </c>
      <c r="H5" s="33" t="s">
        <v>57</v>
      </c>
      <c r="J5" s="91" t="str">
        <f t="shared" si="1"/>
        <v>WHEN resource_name = PIT1_7_UNIT 2 THEN 'Shasta - HydroPit 1 U2GEN'</v>
      </c>
      <c r="K5" s="91" t="str">
        <f t="shared" si="0"/>
        <v xml:space="preserve"> 'PIT1_7_UNIT 2', </v>
      </c>
    </row>
    <row r="6" spans="1:11" x14ac:dyDescent="0.25">
      <c r="A6" s="33" t="s">
        <v>246</v>
      </c>
      <c r="B6" s="33" t="s">
        <v>132</v>
      </c>
      <c r="C6" s="33" t="s">
        <v>137</v>
      </c>
      <c r="D6" s="34" t="s">
        <v>4</v>
      </c>
      <c r="E6" s="35">
        <v>5</v>
      </c>
      <c r="F6" s="35" t="s">
        <v>244</v>
      </c>
      <c r="G6" s="35">
        <v>70.599999999999994</v>
      </c>
      <c r="H6" s="33" t="s">
        <v>57</v>
      </c>
      <c r="J6" s="91" t="str">
        <f t="shared" si="1"/>
        <v>WHEN resource_name = PIT3_7_PL1X3 THEN 'Shasta - HydroPit 3 U1-U3GEN'</v>
      </c>
      <c r="K6" s="91" t="str">
        <f t="shared" si="0"/>
        <v xml:space="preserve"> 'PIT3_7_PL1X3', </v>
      </c>
    </row>
    <row r="7" spans="1:11" x14ac:dyDescent="0.25">
      <c r="A7" s="33" t="s">
        <v>247</v>
      </c>
      <c r="B7" s="33" t="s">
        <v>132</v>
      </c>
      <c r="C7" s="33" t="s">
        <v>138</v>
      </c>
      <c r="D7" s="34" t="s">
        <v>4</v>
      </c>
      <c r="E7" s="35">
        <v>6</v>
      </c>
      <c r="F7" s="35" t="s">
        <v>244</v>
      </c>
      <c r="G7" s="35">
        <v>95</v>
      </c>
      <c r="H7" s="33" t="s">
        <v>57</v>
      </c>
      <c r="J7" s="91" t="str">
        <f t="shared" si="1"/>
        <v>WHEN resource_name = PIT4_7_PL1X2 THEN 'Shasta - HydroPit 4 U1 and U2GEN'</v>
      </c>
      <c r="K7" s="91" t="str">
        <f t="shared" si="0"/>
        <v xml:space="preserve"> 'PIT4_7_PL1X2', </v>
      </c>
    </row>
    <row r="8" spans="1:11" x14ac:dyDescent="0.25">
      <c r="A8" s="33" t="s">
        <v>248</v>
      </c>
      <c r="B8" s="33" t="s">
        <v>132</v>
      </c>
      <c r="C8" s="33" t="s">
        <v>139</v>
      </c>
      <c r="D8" s="34" t="s">
        <v>4</v>
      </c>
      <c r="E8" s="35">
        <v>7</v>
      </c>
      <c r="F8" s="35" t="s">
        <v>244</v>
      </c>
      <c r="G8" s="35">
        <v>82</v>
      </c>
      <c r="H8" s="33" t="s">
        <v>57</v>
      </c>
      <c r="J8" s="91" t="str">
        <f t="shared" si="1"/>
        <v>WHEN resource_name = PIT5_7_PL1X2 THEN 'Shasta - HydroPit 5 U1 and U2GEN'</v>
      </c>
      <c r="K8" s="91" t="str">
        <f t="shared" si="0"/>
        <v xml:space="preserve"> 'PIT5_7_PL1X2', </v>
      </c>
    </row>
    <row r="9" spans="1:11" x14ac:dyDescent="0.25">
      <c r="A9" s="33" t="s">
        <v>249</v>
      </c>
      <c r="B9" s="33" t="s">
        <v>132</v>
      </c>
      <c r="C9" s="33" t="s">
        <v>140</v>
      </c>
      <c r="D9" s="34" t="s">
        <v>4</v>
      </c>
      <c r="E9" s="35">
        <v>8</v>
      </c>
      <c r="F9" s="35" t="s">
        <v>244</v>
      </c>
      <c r="G9" s="35">
        <v>82</v>
      </c>
      <c r="H9" s="33" t="s">
        <v>57</v>
      </c>
      <c r="J9" s="91" t="str">
        <f t="shared" si="1"/>
        <v>WHEN resource_name = PIT5_7_PL3X4 THEN 'Shasta - HydroPit 5 U3 and U4GEN'</v>
      </c>
      <c r="K9" s="91" t="str">
        <f t="shared" si="0"/>
        <v xml:space="preserve"> 'PIT5_7_PL3X4', </v>
      </c>
    </row>
    <row r="10" spans="1:11" x14ac:dyDescent="0.25">
      <c r="A10" s="33" t="s">
        <v>250</v>
      </c>
      <c r="B10" s="33" t="s">
        <v>132</v>
      </c>
      <c r="C10" s="33" t="s">
        <v>141</v>
      </c>
      <c r="D10" s="34" t="s">
        <v>4</v>
      </c>
      <c r="E10" s="35">
        <v>9</v>
      </c>
      <c r="F10" s="35" t="s">
        <v>244</v>
      </c>
      <c r="G10" s="35">
        <v>85</v>
      </c>
      <c r="H10" s="33" t="s">
        <v>57</v>
      </c>
      <c r="J10" s="91" t="str">
        <f t="shared" si="1"/>
        <v>WHEN resource_name = BLACK_7_UNIT 1 THEN 'Shasta - HydroJames B Black U1GEN'</v>
      </c>
      <c r="K10" s="91" t="str">
        <f t="shared" si="0"/>
        <v xml:space="preserve"> 'BLACK_7_UNIT 1', </v>
      </c>
    </row>
    <row r="11" spans="1:11" x14ac:dyDescent="0.25">
      <c r="A11" s="33" t="s">
        <v>251</v>
      </c>
      <c r="B11" s="33" t="s">
        <v>132</v>
      </c>
      <c r="C11" s="33" t="s">
        <v>142</v>
      </c>
      <c r="D11" s="34" t="s">
        <v>4</v>
      </c>
      <c r="E11" s="35">
        <v>10</v>
      </c>
      <c r="F11" s="35" t="s">
        <v>244</v>
      </c>
      <c r="G11" s="35">
        <v>84.1</v>
      </c>
      <c r="H11" s="33" t="s">
        <v>57</v>
      </c>
      <c r="J11" s="91" t="str">
        <f t="shared" si="1"/>
        <v>WHEN resource_name = BLACK_7_UNIT 2 THEN 'Shasta - HydroJames B Black U2GEN'</v>
      </c>
      <c r="K11" s="91" t="str">
        <f t="shared" si="0"/>
        <v xml:space="preserve"> 'BLACK_7_UNIT 2', </v>
      </c>
    </row>
    <row r="12" spans="1:11" x14ac:dyDescent="0.25">
      <c r="A12" s="33" t="s">
        <v>252</v>
      </c>
      <c r="B12" s="33" t="s">
        <v>132</v>
      </c>
      <c r="C12" s="33" t="s">
        <v>143</v>
      </c>
      <c r="D12" s="34" t="s">
        <v>4</v>
      </c>
      <c r="E12" s="35">
        <v>11</v>
      </c>
      <c r="F12" s="35" t="s">
        <v>244</v>
      </c>
      <c r="G12" s="35">
        <v>39</v>
      </c>
      <c r="H12" s="33" t="s">
        <v>57</v>
      </c>
      <c r="J12" s="91" t="str">
        <f t="shared" si="1"/>
        <v>WHEN resource_name = PIT6_7_UNIT 1 THEN 'Shasta - HydroPit 6 U1GEN'</v>
      </c>
      <c r="K12" s="91" t="str">
        <f t="shared" si="0"/>
        <v xml:space="preserve"> 'PIT6_7_UNIT 1', </v>
      </c>
    </row>
    <row r="13" spans="1:11" x14ac:dyDescent="0.25">
      <c r="A13" s="33" t="s">
        <v>253</v>
      </c>
      <c r="B13" s="33" t="s">
        <v>132</v>
      </c>
      <c r="C13" s="33" t="s">
        <v>144</v>
      </c>
      <c r="D13" s="34" t="s">
        <v>4</v>
      </c>
      <c r="E13" s="35">
        <v>12</v>
      </c>
      <c r="F13" s="35" t="s">
        <v>244</v>
      </c>
      <c r="G13" s="35">
        <v>40</v>
      </c>
      <c r="H13" s="33" t="s">
        <v>57</v>
      </c>
      <c r="J13" s="91" t="str">
        <f t="shared" si="1"/>
        <v>WHEN resource_name = PIT6_7_UNIT 2 THEN 'Shasta - HydroPit 6 U2GEN'</v>
      </c>
      <c r="K13" s="91" t="str">
        <f t="shared" si="0"/>
        <v xml:space="preserve"> 'PIT6_7_UNIT 2', </v>
      </c>
    </row>
    <row r="14" spans="1:11" x14ac:dyDescent="0.25">
      <c r="A14" s="33" t="s">
        <v>254</v>
      </c>
      <c r="B14" s="33" t="s">
        <v>132</v>
      </c>
      <c r="C14" s="33" t="s">
        <v>145</v>
      </c>
      <c r="D14" s="34" t="s">
        <v>4</v>
      </c>
      <c r="E14" s="35">
        <v>13</v>
      </c>
      <c r="F14" s="35" t="s">
        <v>244</v>
      </c>
      <c r="G14" s="35">
        <v>55.7</v>
      </c>
      <c r="H14" s="33" t="s">
        <v>57</v>
      </c>
      <c r="J14" s="91" t="str">
        <f t="shared" si="1"/>
        <v>WHEN resource_name = PIT7_7_UNIT 1 THEN 'Shasta - HydroPit 7 U1GEN'</v>
      </c>
      <c r="K14" s="91" t="str">
        <f t="shared" si="0"/>
        <v xml:space="preserve"> 'PIT7_7_UNIT 1', </v>
      </c>
    </row>
    <row r="15" spans="1:11" x14ac:dyDescent="0.25">
      <c r="A15" s="33" t="s">
        <v>255</v>
      </c>
      <c r="B15" s="33" t="s">
        <v>132</v>
      </c>
      <c r="C15" s="33" t="s">
        <v>146</v>
      </c>
      <c r="D15" s="34" t="s">
        <v>4</v>
      </c>
      <c r="E15" s="35">
        <v>14</v>
      </c>
      <c r="F15" s="35" t="s">
        <v>244</v>
      </c>
      <c r="G15" s="35">
        <v>54.6</v>
      </c>
      <c r="H15" s="33" t="s">
        <v>57</v>
      </c>
      <c r="J15" s="91" t="str">
        <f t="shared" si="1"/>
        <v>WHEN resource_name = PIT7_7_UNIT 2 THEN 'Shasta - HydroPit 7 U2GEN'</v>
      </c>
      <c r="K15" s="91" t="str">
        <f t="shared" si="0"/>
        <v xml:space="preserve"> 'PIT7_7_UNIT 2', </v>
      </c>
    </row>
    <row r="16" spans="1:11" x14ac:dyDescent="0.25">
      <c r="A16" s="33" t="s">
        <v>256</v>
      </c>
      <c r="B16" s="33" t="s">
        <v>132</v>
      </c>
      <c r="C16" s="33" t="s">
        <v>147</v>
      </c>
      <c r="D16" s="34" t="s">
        <v>4</v>
      </c>
      <c r="E16" s="35">
        <v>15</v>
      </c>
      <c r="F16" s="35" t="s">
        <v>56</v>
      </c>
      <c r="G16" s="35">
        <v>13</v>
      </c>
      <c r="H16" s="33" t="s">
        <v>57</v>
      </c>
      <c r="J16" s="91" t="str">
        <f t="shared" si="1"/>
        <v>WHEN resource_name = COLEMN_2_UNIT THEN 'Shasta - HydroColemanGEN'</v>
      </c>
      <c r="K16" s="91" t="str">
        <f t="shared" si="0"/>
        <v xml:space="preserve"> 'COLEMN_2_UNIT', </v>
      </c>
    </row>
    <row r="17" spans="1:11" x14ac:dyDescent="0.25">
      <c r="A17" s="33" t="s">
        <v>257</v>
      </c>
      <c r="B17" s="33" t="s">
        <v>132</v>
      </c>
      <c r="C17" s="33" t="s">
        <v>148</v>
      </c>
      <c r="D17" s="34" t="s">
        <v>4</v>
      </c>
      <c r="E17" s="35">
        <v>16</v>
      </c>
      <c r="F17" s="35" t="s">
        <v>56</v>
      </c>
      <c r="G17" s="35">
        <v>2</v>
      </c>
      <c r="H17" s="33" t="s">
        <v>57</v>
      </c>
      <c r="J17" s="91" t="str">
        <f t="shared" si="1"/>
        <v>WHEN resource_name = COWCRK_2_UNIT THEN 'Shasta - HydroCow Creek U1 and U2GEN'</v>
      </c>
      <c r="K17" s="91" t="str">
        <f t="shared" si="0"/>
        <v xml:space="preserve"> 'COWCRK_2_UNIT', </v>
      </c>
    </row>
    <row r="18" spans="1:11" x14ac:dyDescent="0.25">
      <c r="A18" s="33" t="s">
        <v>258</v>
      </c>
      <c r="B18" s="33" t="s">
        <v>132</v>
      </c>
      <c r="C18" s="33" t="s">
        <v>149</v>
      </c>
      <c r="D18" s="34" t="s">
        <v>4</v>
      </c>
      <c r="E18" s="35">
        <v>17</v>
      </c>
      <c r="F18" s="35" t="s">
        <v>56</v>
      </c>
      <c r="G18" s="35">
        <v>8</v>
      </c>
      <c r="H18" s="33" t="s">
        <v>57</v>
      </c>
      <c r="J18" s="91" t="str">
        <f t="shared" si="1"/>
        <v>WHEN resource_name = INSKIP_2_UNIT THEN 'Shasta - HydroInskipGEN'</v>
      </c>
      <c r="K18" s="91" t="str">
        <f t="shared" si="0"/>
        <v xml:space="preserve"> 'INSKIP_2_UNIT', </v>
      </c>
    </row>
    <row r="19" spans="1:11" x14ac:dyDescent="0.25">
      <c r="A19" s="33" t="s">
        <v>259</v>
      </c>
      <c r="B19" s="33" t="s">
        <v>132</v>
      </c>
      <c r="C19" s="33" t="s">
        <v>150</v>
      </c>
      <c r="D19" s="34" t="s">
        <v>4</v>
      </c>
      <c r="E19" s="35">
        <v>18</v>
      </c>
      <c r="F19" s="35" t="s">
        <v>56</v>
      </c>
      <c r="G19" s="35">
        <v>3.2</v>
      </c>
      <c r="H19" s="33" t="s">
        <v>57</v>
      </c>
      <c r="J19" s="91" t="str">
        <f t="shared" si="1"/>
        <v>WHEN resource_name = KILARC_2_UNIT 1 THEN 'Shasta - HydroKilarc U1 and U2GEN'</v>
      </c>
      <c r="K19" s="91" t="str">
        <f t="shared" si="0"/>
        <v xml:space="preserve"> 'KILARC_2_UNIT 1', </v>
      </c>
    </row>
    <row r="20" spans="1:11" x14ac:dyDescent="0.25">
      <c r="A20" s="33" t="s">
        <v>260</v>
      </c>
      <c r="B20" s="33" t="s">
        <v>132</v>
      </c>
      <c r="C20" s="33" t="s">
        <v>151</v>
      </c>
      <c r="D20" s="34" t="s">
        <v>4</v>
      </c>
      <c r="E20" s="35">
        <v>19</v>
      </c>
      <c r="F20" s="35" t="s">
        <v>56</v>
      </c>
      <c r="G20" s="35">
        <v>7.1</v>
      </c>
      <c r="H20" s="33" t="s">
        <v>57</v>
      </c>
      <c r="J20" s="91" t="str">
        <f t="shared" si="1"/>
        <v>WHEN resource_name = SOUTH_2_UNIT THEN 'Shasta - HydroSouthGEN'</v>
      </c>
      <c r="K20" s="91" t="str">
        <f t="shared" si="0"/>
        <v xml:space="preserve"> 'SOUTH_2_UNIT', </v>
      </c>
    </row>
    <row r="21" spans="1:11" x14ac:dyDescent="0.25">
      <c r="A21" s="33" t="s">
        <v>261</v>
      </c>
      <c r="B21" s="33" t="s">
        <v>132</v>
      </c>
      <c r="C21" s="33" t="s">
        <v>152</v>
      </c>
      <c r="D21" s="34" t="s">
        <v>4</v>
      </c>
      <c r="E21" s="35">
        <v>20</v>
      </c>
      <c r="F21" s="35" t="s">
        <v>56</v>
      </c>
      <c r="G21" s="35">
        <v>9.1</v>
      </c>
      <c r="H21" s="33" t="s">
        <v>57</v>
      </c>
      <c r="J21" s="91" t="str">
        <f t="shared" si="1"/>
        <v>WHEN resource_name = VOLTA_2_UNIT 1 THEN 'Shasta - HydroVolta 1GEN'</v>
      </c>
      <c r="K21" s="91" t="str">
        <f t="shared" si="0"/>
        <v xml:space="preserve"> 'VOLTA_2_UNIT 1', </v>
      </c>
    </row>
    <row r="22" spans="1:11" x14ac:dyDescent="0.25">
      <c r="A22" s="33" t="s">
        <v>262</v>
      </c>
      <c r="B22" s="33" t="s">
        <v>132</v>
      </c>
      <c r="C22" s="33" t="s">
        <v>153</v>
      </c>
      <c r="D22" s="34" t="s">
        <v>4</v>
      </c>
      <c r="E22" s="35">
        <v>21</v>
      </c>
      <c r="F22" s="35" t="s">
        <v>56</v>
      </c>
      <c r="G22" s="35">
        <v>1</v>
      </c>
      <c r="H22" s="33" t="s">
        <v>57</v>
      </c>
      <c r="J22" s="91" t="str">
        <f t="shared" si="1"/>
        <v>WHEN resource_name = VOLTA_2_UNIT 2 THEN 'Shasta - HydroVolta 2GEN'</v>
      </c>
      <c r="K22" s="91" t="str">
        <f t="shared" si="0"/>
        <v xml:space="preserve"> 'VOLTA_2_UNIT 2', </v>
      </c>
    </row>
    <row r="23" spans="1:11" x14ac:dyDescent="0.25">
      <c r="A23" s="33" t="s">
        <v>263</v>
      </c>
      <c r="B23" s="33" t="s">
        <v>154</v>
      </c>
      <c r="C23" s="33" t="s">
        <v>155</v>
      </c>
      <c r="D23" s="34" t="s">
        <v>4</v>
      </c>
      <c r="E23" s="35">
        <v>22</v>
      </c>
      <c r="F23" s="35" t="s">
        <v>56</v>
      </c>
      <c r="G23" s="35">
        <v>4.9000000000000004</v>
      </c>
      <c r="H23" s="33" t="s">
        <v>57</v>
      </c>
      <c r="J23" s="91" t="str">
        <f t="shared" si="1"/>
        <v>WHEN resource_name = HMLTBR_6_UNITS THEN 'DeSabla - HydroHamilton Branch U1 and U2GEN'</v>
      </c>
      <c r="K23" s="91" t="str">
        <f t="shared" si="0"/>
        <v xml:space="preserve"> 'HMLTBR_6_UNITS', </v>
      </c>
    </row>
    <row r="24" spans="1:11" x14ac:dyDescent="0.25">
      <c r="A24" s="33" t="s">
        <v>264</v>
      </c>
      <c r="B24" s="33" t="s">
        <v>154</v>
      </c>
      <c r="C24" s="33" t="s">
        <v>156</v>
      </c>
      <c r="D24" s="34" t="s">
        <v>4</v>
      </c>
      <c r="E24" s="35">
        <v>23</v>
      </c>
      <c r="F24" s="35" t="s">
        <v>244</v>
      </c>
      <c r="G24" s="35">
        <v>41</v>
      </c>
      <c r="H24" s="33" t="s">
        <v>57</v>
      </c>
      <c r="J24" s="91" t="str">
        <f t="shared" si="1"/>
        <v>WHEN resource_name = BUTTVL_7_UNIT 1 THEN 'DeSabla - HydroButt ValleyGEN'</v>
      </c>
      <c r="K24" s="91" t="str">
        <f t="shared" si="0"/>
        <v xml:space="preserve"> 'BUTTVL_7_UNIT 1', </v>
      </c>
    </row>
    <row r="25" spans="1:11" x14ac:dyDescent="0.25">
      <c r="A25" s="33" t="s">
        <v>265</v>
      </c>
      <c r="B25" s="33" t="s">
        <v>154</v>
      </c>
      <c r="C25" s="33" t="s">
        <v>157</v>
      </c>
      <c r="D25" s="34" t="s">
        <v>4</v>
      </c>
      <c r="E25" s="35">
        <v>24</v>
      </c>
      <c r="F25" s="35" t="s">
        <v>244</v>
      </c>
      <c r="G25" s="35">
        <v>24</v>
      </c>
      <c r="H25" s="33" t="s">
        <v>57</v>
      </c>
      <c r="J25" s="91" t="str">
        <f t="shared" si="1"/>
        <v>WHEN resource_name = CARBOU_7_UNIT 1 THEN 'DeSabla - HydroCaribou 1 U1GEN'</v>
      </c>
      <c r="K25" s="91" t="str">
        <f t="shared" si="0"/>
        <v xml:space="preserve"> 'CARBOU_7_UNIT 1', </v>
      </c>
    </row>
    <row r="26" spans="1:11" x14ac:dyDescent="0.25">
      <c r="A26" s="33" t="s">
        <v>266</v>
      </c>
      <c r="B26" s="33" t="s">
        <v>154</v>
      </c>
      <c r="C26" s="33" t="s">
        <v>158</v>
      </c>
      <c r="D26" s="34" t="s">
        <v>4</v>
      </c>
      <c r="E26" s="35">
        <v>25</v>
      </c>
      <c r="F26" s="35" t="s">
        <v>244</v>
      </c>
      <c r="G26" s="35">
        <v>49</v>
      </c>
      <c r="H26" s="33" t="s">
        <v>57</v>
      </c>
      <c r="J26" s="91" t="str">
        <f t="shared" si="1"/>
        <v>WHEN resource_name = CARBOU_7_PL2X3 THEN 'DeSabla - HydroCaribou 1 U2 and U3GEN'</v>
      </c>
      <c r="K26" s="91" t="str">
        <f t="shared" si="0"/>
        <v xml:space="preserve"> 'CARBOU_7_PL2X3', </v>
      </c>
    </row>
    <row r="27" spans="1:11" x14ac:dyDescent="0.25">
      <c r="A27" s="33" t="s">
        <v>267</v>
      </c>
      <c r="B27" s="33" t="s">
        <v>154</v>
      </c>
      <c r="C27" s="33" t="s">
        <v>159</v>
      </c>
      <c r="D27" s="34" t="s">
        <v>4</v>
      </c>
      <c r="E27" s="35">
        <v>26</v>
      </c>
      <c r="F27" s="35" t="s">
        <v>244</v>
      </c>
      <c r="G27" s="35">
        <v>122</v>
      </c>
      <c r="H27" s="33" t="s">
        <v>57</v>
      </c>
      <c r="J27" s="91" t="str">
        <f t="shared" si="1"/>
        <v>WHEN resource_name = CARBOU_7_PL4X5 THEN 'DeSabla - HydroCaribou 2 U4 and U5GEN'</v>
      </c>
      <c r="K27" s="91" t="str">
        <f t="shared" si="0"/>
        <v xml:space="preserve"> 'CARBOU_7_PL4X5', </v>
      </c>
    </row>
    <row r="28" spans="1:11" x14ac:dyDescent="0.25">
      <c r="A28" s="33" t="s">
        <v>268</v>
      </c>
      <c r="B28" s="33" t="s">
        <v>154</v>
      </c>
      <c r="C28" s="33" t="s">
        <v>160</v>
      </c>
      <c r="D28" s="34" t="s">
        <v>4</v>
      </c>
      <c r="E28" s="35">
        <v>27</v>
      </c>
      <c r="F28" s="35" t="s">
        <v>56</v>
      </c>
      <c r="G28" s="35">
        <v>1.3</v>
      </c>
      <c r="H28" s="33" t="s">
        <v>57</v>
      </c>
      <c r="J28" s="91" t="str">
        <f t="shared" si="1"/>
        <v>WHEN resource_name = BUCKCK_7_OAKFLT THEN 'DeSabla - HydroOak FlatGEN'</v>
      </c>
      <c r="K28" s="91" t="str">
        <f t="shared" si="0"/>
        <v xml:space="preserve"> 'BUCKCK_7_OAKFLT', </v>
      </c>
    </row>
    <row r="29" spans="1:11" x14ac:dyDescent="0.25">
      <c r="A29" s="33" t="s">
        <v>269</v>
      </c>
      <c r="B29" s="33" t="s">
        <v>154</v>
      </c>
      <c r="C29" s="33" t="s">
        <v>161</v>
      </c>
      <c r="D29" s="34" t="s">
        <v>4</v>
      </c>
      <c r="E29" s="35">
        <v>28</v>
      </c>
      <c r="F29" s="35" t="s">
        <v>244</v>
      </c>
      <c r="G29" s="35">
        <v>119</v>
      </c>
      <c r="H29" s="33" t="s">
        <v>57</v>
      </c>
      <c r="J29" s="91" t="str">
        <f t="shared" si="1"/>
        <v>WHEN resource_name = BELDEN_7_UNIT 1 THEN 'DeSabla - HydroBeldenGEN'</v>
      </c>
      <c r="K29" s="91" t="str">
        <f t="shared" si="0"/>
        <v xml:space="preserve"> 'BELDEN_7_UNIT 1', </v>
      </c>
    </row>
    <row r="30" spans="1:11" x14ac:dyDescent="0.25">
      <c r="A30" s="33" t="s">
        <v>270</v>
      </c>
      <c r="B30" s="33" t="s">
        <v>154</v>
      </c>
      <c r="C30" s="33" t="s">
        <v>162</v>
      </c>
      <c r="D30" s="34" t="s">
        <v>4</v>
      </c>
      <c r="E30" s="35">
        <v>29</v>
      </c>
      <c r="F30" s="35" t="s">
        <v>244</v>
      </c>
      <c r="G30" s="35">
        <v>57</v>
      </c>
      <c r="H30" s="33" t="s">
        <v>57</v>
      </c>
      <c r="J30" s="91" t="str">
        <f t="shared" si="1"/>
        <v>WHEN resource_name = RCKCRK_7_UNIT 1 THEN 'DeSabla - HydroRock Creek U1GEN'</v>
      </c>
      <c r="K30" s="91" t="str">
        <f t="shared" si="0"/>
        <v xml:space="preserve"> 'RCKCRK_7_UNIT 1', </v>
      </c>
    </row>
    <row r="31" spans="1:11" x14ac:dyDescent="0.25">
      <c r="A31" s="33" t="s">
        <v>271</v>
      </c>
      <c r="B31" s="33" t="s">
        <v>154</v>
      </c>
      <c r="C31" s="33" t="s">
        <v>163</v>
      </c>
      <c r="D31" s="34" t="s">
        <v>4</v>
      </c>
      <c r="E31" s="35">
        <v>30</v>
      </c>
      <c r="F31" s="35" t="s">
        <v>244</v>
      </c>
      <c r="G31" s="35">
        <v>56.9</v>
      </c>
      <c r="H31" s="33" t="s">
        <v>57</v>
      </c>
      <c r="J31" s="91" t="str">
        <f t="shared" si="1"/>
        <v>WHEN resource_name = RCKCRK_7_UNIT 2 THEN 'DeSabla - HydroRock Creek U2GEN'</v>
      </c>
      <c r="K31" s="91" t="str">
        <f t="shared" si="0"/>
        <v xml:space="preserve"> 'RCKCRK_7_UNIT 2', </v>
      </c>
    </row>
    <row r="32" spans="1:11" x14ac:dyDescent="0.25">
      <c r="A32" s="33" t="s">
        <v>272</v>
      </c>
      <c r="B32" s="33" t="s">
        <v>154</v>
      </c>
      <c r="C32" s="33" t="s">
        <v>164</v>
      </c>
      <c r="D32" s="34" t="s">
        <v>4</v>
      </c>
      <c r="E32" s="35">
        <v>31</v>
      </c>
      <c r="F32" s="35" t="s">
        <v>244</v>
      </c>
      <c r="G32" s="35">
        <v>59</v>
      </c>
      <c r="H32" s="33" t="s">
        <v>57</v>
      </c>
      <c r="J32" s="91" t="str">
        <f t="shared" si="1"/>
        <v>WHEN resource_name = BUCKCK_7_PL1X2 THEN 'DeSabla - HydroBucks Creek U1 and U2GEN'</v>
      </c>
      <c r="K32" s="91" t="str">
        <f t="shared" si="0"/>
        <v xml:space="preserve"> 'BUCKCK_7_PL1X2', </v>
      </c>
    </row>
    <row r="33" spans="1:11" x14ac:dyDescent="0.25">
      <c r="A33" s="33" t="s">
        <v>273</v>
      </c>
      <c r="B33" s="33" t="s">
        <v>154</v>
      </c>
      <c r="C33" s="33" t="s">
        <v>165</v>
      </c>
      <c r="D33" s="34" t="s">
        <v>4</v>
      </c>
      <c r="E33" s="35">
        <v>32</v>
      </c>
      <c r="F33" s="35" t="s">
        <v>244</v>
      </c>
      <c r="G33" s="35">
        <v>70.400000000000006</v>
      </c>
      <c r="H33" s="33" t="s">
        <v>57</v>
      </c>
      <c r="J33" s="91" t="str">
        <f t="shared" si="1"/>
        <v>WHEN resource_name = CRESTA_7_PL1X2 THEN 'DeSabla - HydroCresta U1 and U2GEN'</v>
      </c>
      <c r="K33" s="91" t="str">
        <f t="shared" si="0"/>
        <v xml:space="preserve"> 'CRESTA_7_PL1X2', </v>
      </c>
    </row>
    <row r="34" spans="1:11" x14ac:dyDescent="0.25">
      <c r="A34" s="33" t="s">
        <v>274</v>
      </c>
      <c r="B34" s="33" t="s">
        <v>154</v>
      </c>
      <c r="C34" s="33" t="s">
        <v>166</v>
      </c>
      <c r="D34" s="34" t="s">
        <v>4</v>
      </c>
      <c r="E34" s="35">
        <v>33</v>
      </c>
      <c r="F34" s="35" t="s">
        <v>244</v>
      </c>
      <c r="G34" s="35">
        <v>69</v>
      </c>
      <c r="H34" s="33" t="s">
        <v>57</v>
      </c>
      <c r="J34" s="91" t="str">
        <f t="shared" si="1"/>
        <v>WHEN resource_name = POEPH_7_UNIT 1 THEN 'DeSabla - HydroPoe U1GEN'</v>
      </c>
      <c r="K34" s="91" t="str">
        <f t="shared" si="0"/>
        <v xml:space="preserve"> 'POEPH_7_UNIT 1', </v>
      </c>
    </row>
    <row r="35" spans="1:11" x14ac:dyDescent="0.25">
      <c r="A35" s="33" t="s">
        <v>275</v>
      </c>
      <c r="B35" s="33" t="s">
        <v>154</v>
      </c>
      <c r="C35" s="33" t="s">
        <v>167</v>
      </c>
      <c r="D35" s="34" t="s">
        <v>4</v>
      </c>
      <c r="E35" s="35">
        <v>34</v>
      </c>
      <c r="F35" s="35" t="s">
        <v>244</v>
      </c>
      <c r="G35" s="35">
        <v>60</v>
      </c>
      <c r="H35" s="33" t="s">
        <v>57</v>
      </c>
      <c r="J35" s="91" t="str">
        <f t="shared" si="1"/>
        <v>WHEN resource_name = POEPH_7_UNIT 2 THEN 'DeSabla - HydroPoe U2GEN'</v>
      </c>
      <c r="K35" s="91" t="str">
        <f t="shared" si="0"/>
        <v xml:space="preserve"> 'POEPH_7_UNIT 2', </v>
      </c>
    </row>
    <row r="36" spans="1:11" x14ac:dyDescent="0.25">
      <c r="A36" s="33" t="s">
        <v>276</v>
      </c>
      <c r="B36" s="33" t="s">
        <v>154</v>
      </c>
      <c r="C36" s="33" t="s">
        <v>168</v>
      </c>
      <c r="D36" s="34" t="s">
        <v>4</v>
      </c>
      <c r="E36" s="35">
        <v>35</v>
      </c>
      <c r="F36" s="35" t="s">
        <v>56</v>
      </c>
      <c r="G36" s="35">
        <v>10.1</v>
      </c>
      <c r="H36" s="33" t="s">
        <v>57</v>
      </c>
      <c r="J36" s="91" t="str">
        <f t="shared" si="1"/>
        <v>WHEN resource_name = POTTER_6_UNITS THEN 'DeSabla - HydroPotter Valley U1-U3GEN'</v>
      </c>
      <c r="K36" s="91" t="str">
        <f t="shared" si="0"/>
        <v xml:space="preserve"> 'POTTER_6_UNITS', </v>
      </c>
    </row>
    <row r="37" spans="1:11" x14ac:dyDescent="0.25">
      <c r="A37" s="33" t="s">
        <v>277</v>
      </c>
      <c r="B37" s="33" t="s">
        <v>154</v>
      </c>
      <c r="C37" s="33" t="s">
        <v>169</v>
      </c>
      <c r="D37" s="34" t="s">
        <v>4</v>
      </c>
      <c r="E37" s="35">
        <v>36</v>
      </c>
      <c r="F37" s="35" t="s">
        <v>56</v>
      </c>
      <c r="G37" s="35">
        <v>1.5</v>
      </c>
      <c r="H37" s="33" t="s">
        <v>57</v>
      </c>
      <c r="J37" s="91" t="str">
        <f t="shared" si="1"/>
        <v>WHEN resource_name = TOADTW_6_UNIT THEN 'DeSabla - HydroToadtownGEN'</v>
      </c>
      <c r="K37" s="91" t="str">
        <f t="shared" si="0"/>
        <v xml:space="preserve"> 'TOADTW_6_UNIT', </v>
      </c>
    </row>
    <row r="38" spans="1:11" x14ac:dyDescent="0.25">
      <c r="A38" s="33" t="s">
        <v>278</v>
      </c>
      <c r="B38" s="33" t="s">
        <v>154</v>
      </c>
      <c r="C38" s="33" t="s">
        <v>170</v>
      </c>
      <c r="D38" s="34" t="s">
        <v>4</v>
      </c>
      <c r="E38" s="35">
        <v>37</v>
      </c>
      <c r="F38" s="35" t="s">
        <v>56</v>
      </c>
      <c r="G38" s="35">
        <v>18.5</v>
      </c>
      <c r="H38" s="33" t="s">
        <v>57</v>
      </c>
      <c r="J38" s="91" t="str">
        <f t="shared" si="1"/>
        <v>WHEN resource_name = DSABLA_7_UNIT THEN 'DeSabla - HydroDeSablaGEN'</v>
      </c>
      <c r="K38" s="91" t="str">
        <f t="shared" si="0"/>
        <v xml:space="preserve"> 'DSABLA_7_UNIT', </v>
      </c>
    </row>
    <row r="39" spans="1:11" x14ac:dyDescent="0.25">
      <c r="A39" s="33" t="s">
        <v>279</v>
      </c>
      <c r="B39" s="33" t="s">
        <v>154</v>
      </c>
      <c r="C39" s="33" t="s">
        <v>171</v>
      </c>
      <c r="D39" s="34" t="s">
        <v>4</v>
      </c>
      <c r="E39" s="35">
        <v>38</v>
      </c>
      <c r="F39" s="35" t="s">
        <v>56</v>
      </c>
      <c r="G39" s="35">
        <v>6.4</v>
      </c>
      <c r="H39" s="33" t="s">
        <v>57</v>
      </c>
      <c r="J39" s="91" t="str">
        <f t="shared" si="1"/>
        <v>WHEN resource_name = CNTRVL_6_UNIT THEN 'DeSabla - HydroCenterville U1 and U2GEN'</v>
      </c>
      <c r="K39" s="91" t="str">
        <f t="shared" si="0"/>
        <v xml:space="preserve"> 'CNTRVL_6_UNIT', </v>
      </c>
    </row>
    <row r="40" spans="1:11" x14ac:dyDescent="0.25">
      <c r="A40" s="33" t="s">
        <v>280</v>
      </c>
      <c r="B40" s="33" t="s">
        <v>154</v>
      </c>
      <c r="C40" s="33" t="s">
        <v>172</v>
      </c>
      <c r="D40" s="34" t="s">
        <v>4</v>
      </c>
      <c r="E40" s="35">
        <v>39</v>
      </c>
      <c r="F40" s="35" t="s">
        <v>56</v>
      </c>
      <c r="G40" s="35">
        <v>2</v>
      </c>
      <c r="H40" s="33" t="s">
        <v>57</v>
      </c>
      <c r="J40" s="91" t="str">
        <f t="shared" si="1"/>
        <v>WHEN resource_name = CLRKRD_6_LIMESD THEN 'DeSabla - HydroLime Saddle U1 andU2GEN'</v>
      </c>
      <c r="K40" s="91" t="str">
        <f t="shared" si="0"/>
        <v xml:space="preserve"> 'CLRKRD_6_LIMESD', </v>
      </c>
    </row>
    <row r="41" spans="1:11" x14ac:dyDescent="0.25">
      <c r="A41" s="33" t="s">
        <v>281</v>
      </c>
      <c r="B41" s="33" t="s">
        <v>173</v>
      </c>
      <c r="C41" s="33" t="s">
        <v>174</v>
      </c>
      <c r="D41" s="34" t="s">
        <v>4</v>
      </c>
      <c r="E41" s="35">
        <v>40</v>
      </c>
      <c r="F41" s="35" t="s">
        <v>56</v>
      </c>
      <c r="G41" s="35">
        <v>12</v>
      </c>
      <c r="H41" s="33" t="s">
        <v>57</v>
      </c>
      <c r="J41" s="91" t="str">
        <f t="shared" si="1"/>
        <v>WHEN resource_name = NAROW1_2_UNIT THEN 'Central HydroNarrowsGEN'</v>
      </c>
      <c r="K41" s="91" t="str">
        <f t="shared" si="0"/>
        <v xml:space="preserve"> 'NAROW1_2_UNIT', </v>
      </c>
    </row>
    <row r="42" spans="1:11" x14ac:dyDescent="0.25">
      <c r="A42" s="33" t="s">
        <v>282</v>
      </c>
      <c r="B42" s="33" t="s">
        <v>173</v>
      </c>
      <c r="C42" s="33" t="s">
        <v>175</v>
      </c>
      <c r="D42" s="34" t="s">
        <v>4</v>
      </c>
      <c r="E42" s="35">
        <v>41</v>
      </c>
      <c r="F42" s="35" t="s">
        <v>56</v>
      </c>
      <c r="G42" s="35">
        <v>11.4</v>
      </c>
      <c r="H42" s="33" t="s">
        <v>57</v>
      </c>
    </row>
    <row r="43" spans="1:11" x14ac:dyDescent="0.25">
      <c r="A43" s="33" t="s">
        <v>283</v>
      </c>
      <c r="B43" s="33" t="s">
        <v>173</v>
      </c>
      <c r="C43" s="33" t="s">
        <v>176</v>
      </c>
      <c r="D43" s="34" t="s">
        <v>4</v>
      </c>
      <c r="E43" s="35">
        <v>42</v>
      </c>
      <c r="F43" s="35" t="s">
        <v>56</v>
      </c>
      <c r="G43" s="35">
        <v>6.5</v>
      </c>
      <c r="H43" s="33" t="s">
        <v>57</v>
      </c>
    </row>
    <row r="44" spans="1:11" x14ac:dyDescent="0.25">
      <c r="A44" s="33" t="s">
        <v>284</v>
      </c>
      <c r="B44" s="33" t="s">
        <v>173</v>
      </c>
      <c r="C44" s="33" t="s">
        <v>177</v>
      </c>
      <c r="D44" s="34" t="s">
        <v>4</v>
      </c>
      <c r="E44" s="35">
        <v>43</v>
      </c>
      <c r="F44" s="35" t="s">
        <v>56</v>
      </c>
      <c r="G44" s="35">
        <v>7</v>
      </c>
      <c r="H44" s="33" t="s">
        <v>57</v>
      </c>
    </row>
    <row r="45" spans="1:11" x14ac:dyDescent="0.25">
      <c r="A45" s="33" t="s">
        <v>285</v>
      </c>
      <c r="B45" s="33" t="s">
        <v>173</v>
      </c>
      <c r="C45" s="33" t="s">
        <v>178</v>
      </c>
      <c r="D45" s="34" t="s">
        <v>4</v>
      </c>
      <c r="E45" s="35">
        <v>44</v>
      </c>
      <c r="F45" s="35" t="s">
        <v>244</v>
      </c>
      <c r="G45" s="35">
        <v>26</v>
      </c>
      <c r="H45" s="33" t="s">
        <v>57</v>
      </c>
    </row>
    <row r="46" spans="1:11" x14ac:dyDescent="0.25">
      <c r="A46" s="33" t="s">
        <v>286</v>
      </c>
      <c r="B46" s="33" t="s">
        <v>173</v>
      </c>
      <c r="C46" s="33" t="s">
        <v>179</v>
      </c>
      <c r="D46" s="34" t="s">
        <v>4</v>
      </c>
      <c r="E46" s="35">
        <v>45</v>
      </c>
      <c r="F46" s="35" t="s">
        <v>244</v>
      </c>
      <c r="G46" s="35">
        <v>28.9</v>
      </c>
      <c r="H46" s="33" t="s">
        <v>57</v>
      </c>
    </row>
    <row r="47" spans="1:11" x14ac:dyDescent="0.25">
      <c r="A47" s="33" t="s">
        <v>287</v>
      </c>
      <c r="B47" s="33" t="s">
        <v>173</v>
      </c>
      <c r="C47" s="33" t="s">
        <v>180</v>
      </c>
      <c r="D47" s="34" t="s">
        <v>4</v>
      </c>
      <c r="E47" s="35">
        <v>46</v>
      </c>
      <c r="F47" s="35" t="s">
        <v>244</v>
      </c>
      <c r="G47" s="35">
        <v>50</v>
      </c>
      <c r="H47" s="33" t="s">
        <v>57</v>
      </c>
    </row>
    <row r="48" spans="1:11" x14ac:dyDescent="0.25">
      <c r="A48" s="33" t="s">
        <v>288</v>
      </c>
      <c r="B48" s="33" t="s">
        <v>173</v>
      </c>
      <c r="C48" s="33" t="s">
        <v>181</v>
      </c>
      <c r="D48" s="34" t="s">
        <v>4</v>
      </c>
      <c r="E48" s="35">
        <v>47</v>
      </c>
      <c r="F48" s="35" t="s">
        <v>56</v>
      </c>
      <c r="G48" s="35">
        <v>2</v>
      </c>
      <c r="H48" s="33" t="s">
        <v>57</v>
      </c>
    </row>
    <row r="49" spans="1:8" x14ac:dyDescent="0.25">
      <c r="A49" s="33" t="s">
        <v>289</v>
      </c>
      <c r="B49" s="33" t="s">
        <v>173</v>
      </c>
      <c r="C49" s="33" t="s">
        <v>182</v>
      </c>
      <c r="D49" s="34" t="s">
        <v>4</v>
      </c>
      <c r="E49" s="35">
        <v>48</v>
      </c>
      <c r="F49" s="35" t="s">
        <v>244</v>
      </c>
      <c r="G49" s="35">
        <v>22</v>
      </c>
      <c r="H49" s="33" t="s">
        <v>57</v>
      </c>
    </row>
    <row r="50" spans="1:8" x14ac:dyDescent="0.25">
      <c r="A50" s="33" t="s">
        <v>290</v>
      </c>
      <c r="B50" s="33" t="s">
        <v>173</v>
      </c>
      <c r="C50" s="33" t="s">
        <v>183</v>
      </c>
      <c r="D50" s="34" t="s">
        <v>4</v>
      </c>
      <c r="E50" s="35">
        <v>49</v>
      </c>
      <c r="F50" s="35" t="s">
        <v>56</v>
      </c>
      <c r="G50" s="35">
        <v>13.5</v>
      </c>
      <c r="H50" s="33" t="s">
        <v>57</v>
      </c>
    </row>
    <row r="51" spans="1:8" x14ac:dyDescent="0.25">
      <c r="A51" s="33" t="s">
        <v>291</v>
      </c>
      <c r="B51" s="33" t="s">
        <v>173</v>
      </c>
      <c r="C51" s="33" t="s">
        <v>184</v>
      </c>
      <c r="D51" s="34" t="s">
        <v>4</v>
      </c>
      <c r="E51" s="35">
        <v>50</v>
      </c>
      <c r="F51" s="35" t="s">
        <v>56</v>
      </c>
      <c r="G51" s="35">
        <v>14.5</v>
      </c>
      <c r="H51" s="33" t="s">
        <v>57</v>
      </c>
    </row>
    <row r="52" spans="1:8" x14ac:dyDescent="0.25">
      <c r="A52" s="33" t="s">
        <v>292</v>
      </c>
      <c r="B52" s="33" t="s">
        <v>173</v>
      </c>
      <c r="C52" s="33" t="s">
        <v>185</v>
      </c>
      <c r="D52" s="34" t="s">
        <v>4</v>
      </c>
      <c r="E52" s="35">
        <v>51</v>
      </c>
      <c r="F52" s="35" t="s">
        <v>56</v>
      </c>
      <c r="G52" s="35">
        <v>3.2</v>
      </c>
      <c r="H52" s="33" t="s">
        <v>57</v>
      </c>
    </row>
    <row r="53" spans="1:8" x14ac:dyDescent="0.25">
      <c r="A53" s="33" t="s">
        <v>293</v>
      </c>
      <c r="B53" s="33" t="s">
        <v>173</v>
      </c>
      <c r="C53" s="33" t="s">
        <v>186</v>
      </c>
      <c r="D53" s="34" t="s">
        <v>4</v>
      </c>
      <c r="E53" s="35">
        <v>52</v>
      </c>
      <c r="F53" s="35" t="s">
        <v>56</v>
      </c>
      <c r="G53" s="35">
        <v>12</v>
      </c>
      <c r="H53" s="33" t="s">
        <v>57</v>
      </c>
    </row>
    <row r="54" spans="1:8" x14ac:dyDescent="0.25">
      <c r="A54" s="33" t="s">
        <v>294</v>
      </c>
      <c r="B54" s="33" t="s">
        <v>173</v>
      </c>
      <c r="C54" s="33" t="s">
        <v>187</v>
      </c>
      <c r="D54" s="34" t="s">
        <v>4</v>
      </c>
      <c r="E54" s="35">
        <v>53</v>
      </c>
      <c r="F54" s="35" t="s">
        <v>56</v>
      </c>
      <c r="G54" s="35">
        <v>8.4</v>
      </c>
      <c r="H54" s="33" t="s">
        <v>57</v>
      </c>
    </row>
    <row r="55" spans="1:8" x14ac:dyDescent="0.25">
      <c r="A55" s="33" t="s">
        <v>295</v>
      </c>
      <c r="B55" s="33" t="s">
        <v>173</v>
      </c>
      <c r="C55" s="33" t="s">
        <v>188</v>
      </c>
      <c r="D55" s="34" t="s">
        <v>4</v>
      </c>
      <c r="E55" s="35">
        <v>54</v>
      </c>
      <c r="F55" s="35" t="s">
        <v>56</v>
      </c>
      <c r="G55" s="35">
        <v>46</v>
      </c>
      <c r="H55" s="33" t="s">
        <v>57</v>
      </c>
    </row>
    <row r="56" spans="1:8" x14ac:dyDescent="0.25">
      <c r="A56" s="33" t="s">
        <v>296</v>
      </c>
      <c r="B56" s="33" t="s">
        <v>173</v>
      </c>
      <c r="C56" s="33" t="s">
        <v>189</v>
      </c>
      <c r="D56" s="34" t="s">
        <v>4</v>
      </c>
      <c r="E56" s="35">
        <v>55</v>
      </c>
      <c r="F56" s="35" t="s">
        <v>244</v>
      </c>
      <c r="G56" s="35">
        <v>62</v>
      </c>
      <c r="H56" s="33" t="s">
        <v>57</v>
      </c>
    </row>
    <row r="57" spans="1:8" x14ac:dyDescent="0.25">
      <c r="A57" s="33" t="s">
        <v>297</v>
      </c>
      <c r="B57" s="33" t="s">
        <v>173</v>
      </c>
      <c r="C57" s="33" t="s">
        <v>190</v>
      </c>
      <c r="D57" s="34" t="s">
        <v>4</v>
      </c>
      <c r="E57" s="35">
        <v>56</v>
      </c>
      <c r="F57" s="35" t="s">
        <v>244</v>
      </c>
      <c r="G57" s="35">
        <v>14</v>
      </c>
      <c r="H57" s="33" t="s">
        <v>57</v>
      </c>
    </row>
    <row r="58" spans="1:8" x14ac:dyDescent="0.25">
      <c r="A58" s="33" t="s">
        <v>298</v>
      </c>
      <c r="B58" s="33" t="s">
        <v>173</v>
      </c>
      <c r="C58" s="33" t="s">
        <v>191</v>
      </c>
      <c r="D58" s="34" t="s">
        <v>4</v>
      </c>
      <c r="E58" s="35">
        <v>57</v>
      </c>
      <c r="F58" s="35" t="s">
        <v>244</v>
      </c>
      <c r="G58" s="35">
        <v>101.5</v>
      </c>
      <c r="H58" s="33" t="s">
        <v>57</v>
      </c>
    </row>
    <row r="59" spans="1:8" x14ac:dyDescent="0.25">
      <c r="A59" s="33" t="s">
        <v>299</v>
      </c>
      <c r="B59" s="33" t="s">
        <v>173</v>
      </c>
      <c r="C59" s="33" t="s">
        <v>192</v>
      </c>
      <c r="D59" s="34" t="s">
        <v>4</v>
      </c>
      <c r="E59" s="35">
        <v>58</v>
      </c>
      <c r="F59" s="35" t="s">
        <v>56</v>
      </c>
      <c r="G59" s="35">
        <v>7</v>
      </c>
      <c r="H59" s="33" t="s">
        <v>57</v>
      </c>
    </row>
    <row r="60" spans="1:8" x14ac:dyDescent="0.25">
      <c r="A60" s="33" t="s">
        <v>300</v>
      </c>
      <c r="B60" s="33" t="s">
        <v>173</v>
      </c>
      <c r="C60" s="33" t="s">
        <v>193</v>
      </c>
      <c r="D60" s="34" t="s">
        <v>4</v>
      </c>
      <c r="E60" s="35">
        <v>59</v>
      </c>
      <c r="F60" s="35" t="s">
        <v>244</v>
      </c>
      <c r="G60" s="35">
        <v>91</v>
      </c>
      <c r="H60" s="33" t="s">
        <v>57</v>
      </c>
    </row>
    <row r="61" spans="1:8" x14ac:dyDescent="0.25">
      <c r="A61" s="33" t="s">
        <v>301</v>
      </c>
      <c r="B61" s="33" t="s">
        <v>173</v>
      </c>
      <c r="C61" s="33" t="s">
        <v>194</v>
      </c>
      <c r="D61" s="34" t="s">
        <v>4</v>
      </c>
      <c r="E61" s="35">
        <v>60</v>
      </c>
      <c r="F61" s="35" t="s">
        <v>56</v>
      </c>
      <c r="G61" s="35">
        <v>2</v>
      </c>
      <c r="H61" s="33" t="s">
        <v>57</v>
      </c>
    </row>
    <row r="62" spans="1:8" x14ac:dyDescent="0.25">
      <c r="A62" s="33" t="s">
        <v>302</v>
      </c>
      <c r="B62" s="33" t="s">
        <v>173</v>
      </c>
      <c r="C62" s="33" t="s">
        <v>195</v>
      </c>
      <c r="D62" s="34" t="s">
        <v>4</v>
      </c>
      <c r="E62" s="35">
        <v>61</v>
      </c>
      <c r="F62" s="35" t="s">
        <v>56</v>
      </c>
      <c r="G62" s="35">
        <v>3.5</v>
      </c>
      <c r="H62" s="33" t="s">
        <v>57</v>
      </c>
    </row>
    <row r="63" spans="1:8" x14ac:dyDescent="0.25">
      <c r="A63" s="33" t="s">
        <v>303</v>
      </c>
      <c r="B63" s="33" t="s">
        <v>196</v>
      </c>
      <c r="C63" s="33" t="s">
        <v>197</v>
      </c>
      <c r="D63" s="34" t="s">
        <v>4</v>
      </c>
      <c r="E63" s="35">
        <v>62</v>
      </c>
      <c r="F63" s="35" t="s">
        <v>244</v>
      </c>
      <c r="G63" s="35">
        <v>144</v>
      </c>
      <c r="H63" s="33" t="s">
        <v>57</v>
      </c>
    </row>
    <row r="64" spans="1:8" x14ac:dyDescent="0.25">
      <c r="A64" s="33" t="s">
        <v>304</v>
      </c>
      <c r="B64" s="33" t="s">
        <v>196</v>
      </c>
      <c r="C64" s="33" t="s">
        <v>198</v>
      </c>
      <c r="D64" s="34" t="s">
        <v>4</v>
      </c>
      <c r="E64" s="35">
        <v>63</v>
      </c>
      <c r="F64" s="35" t="s">
        <v>56</v>
      </c>
      <c r="G64" s="35">
        <v>33</v>
      </c>
      <c r="H64" s="33" t="s">
        <v>57</v>
      </c>
    </row>
    <row r="65" spans="1:8" x14ac:dyDescent="0.25">
      <c r="A65" s="33" t="s">
        <v>305</v>
      </c>
      <c r="B65" s="33" t="s">
        <v>196</v>
      </c>
      <c r="C65" s="33" t="s">
        <v>199</v>
      </c>
      <c r="D65" s="34" t="s">
        <v>4</v>
      </c>
      <c r="E65" s="35">
        <v>64</v>
      </c>
      <c r="F65" s="35" t="s">
        <v>244</v>
      </c>
      <c r="G65" s="35">
        <v>52.5</v>
      </c>
      <c r="H65" s="33" t="s">
        <v>57</v>
      </c>
    </row>
    <row r="66" spans="1:8" x14ac:dyDescent="0.25">
      <c r="A66" s="33" t="s">
        <v>306</v>
      </c>
      <c r="B66" s="33" t="s">
        <v>196</v>
      </c>
      <c r="C66" s="33" t="s">
        <v>200</v>
      </c>
      <c r="D66" s="34" t="s">
        <v>4</v>
      </c>
      <c r="E66" s="35">
        <v>65</v>
      </c>
      <c r="F66" s="35" t="s">
        <v>244</v>
      </c>
      <c r="G66" s="35">
        <v>54.6</v>
      </c>
      <c r="H66" s="33" t="s">
        <v>57</v>
      </c>
    </row>
    <row r="67" spans="1:8" x14ac:dyDescent="0.25">
      <c r="A67" s="33" t="s">
        <v>307</v>
      </c>
      <c r="B67" s="33" t="s">
        <v>196</v>
      </c>
      <c r="C67" s="33" t="s">
        <v>201</v>
      </c>
      <c r="D67" s="34" t="s">
        <v>4</v>
      </c>
      <c r="E67" s="35">
        <v>66</v>
      </c>
      <c r="F67" s="35" t="s">
        <v>244</v>
      </c>
      <c r="G67" s="35">
        <v>51.2</v>
      </c>
      <c r="H67" s="33" t="s">
        <v>57</v>
      </c>
    </row>
    <row r="68" spans="1:8" x14ac:dyDescent="0.25">
      <c r="A68" s="33" t="s">
        <v>308</v>
      </c>
      <c r="B68" s="33" t="s">
        <v>196</v>
      </c>
      <c r="C68" s="33" t="s">
        <v>202</v>
      </c>
      <c r="D68" s="34" t="s">
        <v>4</v>
      </c>
      <c r="E68" s="35">
        <v>67</v>
      </c>
      <c r="F68" s="35" t="s">
        <v>56</v>
      </c>
      <c r="G68" s="35">
        <v>0.9</v>
      </c>
      <c r="H68" s="33" t="s">
        <v>57</v>
      </c>
    </row>
    <row r="69" spans="1:8" x14ac:dyDescent="0.25">
      <c r="A69" s="33" t="s">
        <v>309</v>
      </c>
      <c r="B69" s="33" t="s">
        <v>196</v>
      </c>
      <c r="C69" s="33" t="s">
        <v>203</v>
      </c>
      <c r="D69" s="34" t="s">
        <v>4</v>
      </c>
      <c r="E69" s="35">
        <v>68</v>
      </c>
      <c r="F69" s="35" t="s">
        <v>56</v>
      </c>
      <c r="G69" s="35">
        <v>18.399999999999999</v>
      </c>
      <c r="H69" s="33" t="s">
        <v>57</v>
      </c>
    </row>
    <row r="70" spans="1:8" x14ac:dyDescent="0.25">
      <c r="A70" s="33" t="s">
        <v>310</v>
      </c>
      <c r="B70" s="33" t="s">
        <v>196</v>
      </c>
      <c r="C70" s="33" t="s">
        <v>204</v>
      </c>
      <c r="D70" s="34" t="s">
        <v>4</v>
      </c>
      <c r="E70" s="35">
        <v>69</v>
      </c>
      <c r="F70" s="35" t="s">
        <v>56</v>
      </c>
      <c r="G70" s="35">
        <v>3.2</v>
      </c>
      <c r="H70" s="33" t="s">
        <v>57</v>
      </c>
    </row>
    <row r="71" spans="1:8" x14ac:dyDescent="0.25">
      <c r="A71" s="33" t="s">
        <v>311</v>
      </c>
      <c r="B71" s="33" t="s">
        <v>196</v>
      </c>
      <c r="C71" s="33" t="s">
        <v>205</v>
      </c>
      <c r="D71" s="34" t="s">
        <v>4</v>
      </c>
      <c r="E71" s="35">
        <v>70</v>
      </c>
      <c r="F71" s="35" t="s">
        <v>56</v>
      </c>
      <c r="G71" s="35">
        <v>4.2</v>
      </c>
      <c r="H71" s="33" t="s">
        <v>57</v>
      </c>
    </row>
    <row r="72" spans="1:8" x14ac:dyDescent="0.25">
      <c r="A72" s="33" t="s">
        <v>312</v>
      </c>
      <c r="B72" s="33" t="s">
        <v>196</v>
      </c>
      <c r="C72" s="33" t="s">
        <v>206</v>
      </c>
      <c r="D72" s="34" t="s">
        <v>4</v>
      </c>
      <c r="E72" s="35">
        <v>71</v>
      </c>
      <c r="F72" s="35" t="s">
        <v>56</v>
      </c>
      <c r="G72" s="35">
        <v>13</v>
      </c>
      <c r="H72" s="33" t="s">
        <v>57</v>
      </c>
    </row>
    <row r="73" spans="1:8" x14ac:dyDescent="0.25">
      <c r="A73" s="33" t="s">
        <v>313</v>
      </c>
      <c r="B73" s="33" t="s">
        <v>196</v>
      </c>
      <c r="C73" s="33" t="s">
        <v>207</v>
      </c>
      <c r="D73" s="34" t="s">
        <v>4</v>
      </c>
      <c r="E73" s="35">
        <v>72</v>
      </c>
      <c r="F73" s="35" t="s">
        <v>56</v>
      </c>
      <c r="G73" s="35">
        <v>12.8</v>
      </c>
      <c r="H73" s="33" t="s">
        <v>57</v>
      </c>
    </row>
    <row r="74" spans="1:8" x14ac:dyDescent="0.25">
      <c r="A74" s="33" t="s">
        <v>314</v>
      </c>
      <c r="B74" s="33" t="s">
        <v>196</v>
      </c>
      <c r="C74" s="33" t="s">
        <v>208</v>
      </c>
      <c r="D74" s="34" t="s">
        <v>4</v>
      </c>
      <c r="E74" s="35">
        <v>73</v>
      </c>
      <c r="F74" s="35" t="s">
        <v>244</v>
      </c>
      <c r="G74" s="35">
        <v>153.9</v>
      </c>
      <c r="H74" s="33" t="s">
        <v>57</v>
      </c>
    </row>
    <row r="75" spans="1:8" x14ac:dyDescent="0.25">
      <c r="A75" s="33" t="s">
        <v>315</v>
      </c>
      <c r="B75" s="33" t="s">
        <v>196</v>
      </c>
      <c r="C75" s="33" t="s">
        <v>209</v>
      </c>
      <c r="D75" s="34" t="s">
        <v>4</v>
      </c>
      <c r="E75" s="35">
        <v>74</v>
      </c>
      <c r="F75" s="35" t="s">
        <v>56</v>
      </c>
      <c r="G75" s="35">
        <v>6.4</v>
      </c>
      <c r="H75" s="33" t="s">
        <v>57</v>
      </c>
    </row>
    <row r="76" spans="1:8" x14ac:dyDescent="0.25">
      <c r="A76" s="33" t="s">
        <v>316</v>
      </c>
      <c r="B76" s="33" t="s">
        <v>196</v>
      </c>
      <c r="C76" s="33" t="s">
        <v>210</v>
      </c>
      <c r="D76" s="34" t="s">
        <v>4</v>
      </c>
      <c r="E76" s="35">
        <v>75</v>
      </c>
      <c r="F76" s="35" t="s">
        <v>56</v>
      </c>
      <c r="G76" s="35">
        <v>11.5</v>
      </c>
      <c r="H76" s="33" t="s">
        <v>57</v>
      </c>
    </row>
    <row r="77" spans="1:8" x14ac:dyDescent="0.25">
      <c r="A77" s="33" t="s">
        <v>317</v>
      </c>
      <c r="B77" s="33" t="s">
        <v>211</v>
      </c>
      <c r="C77" s="33" t="s">
        <v>212</v>
      </c>
      <c r="D77" s="34" t="s">
        <v>4</v>
      </c>
      <c r="E77" s="35">
        <v>76</v>
      </c>
      <c r="F77" s="35" t="s">
        <v>244</v>
      </c>
      <c r="G77" s="35">
        <v>407</v>
      </c>
      <c r="H77" s="33" t="s">
        <v>57</v>
      </c>
    </row>
    <row r="78" spans="1:8" x14ac:dyDescent="0.25">
      <c r="A78" s="33" t="s">
        <v>317</v>
      </c>
      <c r="B78" s="33" t="s">
        <v>211</v>
      </c>
      <c r="C78" s="33" t="s">
        <v>213</v>
      </c>
      <c r="D78" s="34" t="s">
        <v>318</v>
      </c>
      <c r="E78" s="35">
        <v>77</v>
      </c>
      <c r="F78" s="35" t="s">
        <v>56</v>
      </c>
      <c r="G78" s="35">
        <v>340</v>
      </c>
      <c r="H78" s="33" t="s">
        <v>57</v>
      </c>
    </row>
    <row r="79" spans="1:8" x14ac:dyDescent="0.25">
      <c r="A79" s="33" t="s">
        <v>319</v>
      </c>
      <c r="B79" s="33" t="s">
        <v>211</v>
      </c>
      <c r="C79" s="33" t="s">
        <v>214</v>
      </c>
      <c r="D79" s="34" t="s">
        <v>4</v>
      </c>
      <c r="E79" s="35">
        <v>78</v>
      </c>
      <c r="F79" s="35" t="s">
        <v>244</v>
      </c>
      <c r="G79" s="35">
        <v>407</v>
      </c>
      <c r="H79" s="33" t="s">
        <v>57</v>
      </c>
    </row>
    <row r="80" spans="1:8" x14ac:dyDescent="0.25">
      <c r="A80" s="33" t="s">
        <v>319</v>
      </c>
      <c r="B80" s="33" t="s">
        <v>211</v>
      </c>
      <c r="C80" s="33" t="s">
        <v>215</v>
      </c>
      <c r="D80" s="34" t="s">
        <v>318</v>
      </c>
      <c r="E80" s="35">
        <v>79</v>
      </c>
      <c r="F80" s="35" t="s">
        <v>56</v>
      </c>
      <c r="G80" s="35">
        <v>340</v>
      </c>
      <c r="H80" s="33" t="s">
        <v>57</v>
      </c>
    </row>
    <row r="81" spans="1:8" x14ac:dyDescent="0.25">
      <c r="A81" s="33" t="s">
        <v>320</v>
      </c>
      <c r="B81" s="33" t="s">
        <v>211</v>
      </c>
      <c r="C81" s="33" t="s">
        <v>216</v>
      </c>
      <c r="D81" s="34" t="s">
        <v>4</v>
      </c>
      <c r="E81" s="35">
        <v>80</v>
      </c>
      <c r="F81" s="35" t="s">
        <v>244</v>
      </c>
      <c r="G81" s="35">
        <v>404</v>
      </c>
      <c r="H81" s="33" t="s">
        <v>57</v>
      </c>
    </row>
    <row r="82" spans="1:8" x14ac:dyDescent="0.25">
      <c r="A82" s="33" t="s">
        <v>320</v>
      </c>
      <c r="B82" s="33" t="s">
        <v>211</v>
      </c>
      <c r="C82" s="33" t="s">
        <v>217</v>
      </c>
      <c r="D82" s="34" t="s">
        <v>318</v>
      </c>
      <c r="E82" s="35">
        <v>81</v>
      </c>
      <c r="F82" s="35" t="s">
        <v>56</v>
      </c>
      <c r="G82" s="35">
        <v>340</v>
      </c>
      <c r="H82" s="33" t="s">
        <v>57</v>
      </c>
    </row>
    <row r="83" spans="1:8" x14ac:dyDescent="0.25">
      <c r="A83" s="33" t="s">
        <v>321</v>
      </c>
      <c r="B83" s="33" t="s">
        <v>218</v>
      </c>
      <c r="C83" s="33" t="s">
        <v>219</v>
      </c>
      <c r="D83" s="34" t="s">
        <v>4</v>
      </c>
      <c r="E83" s="35">
        <v>82</v>
      </c>
      <c r="F83" s="35" t="s">
        <v>56</v>
      </c>
      <c r="G83" s="35">
        <v>1150</v>
      </c>
      <c r="H83" s="33" t="s">
        <v>57</v>
      </c>
    </row>
    <row r="84" spans="1:8" x14ac:dyDescent="0.25">
      <c r="A84" s="33" t="s">
        <v>322</v>
      </c>
      <c r="B84" s="33" t="s">
        <v>218</v>
      </c>
      <c r="C84" s="33" t="s">
        <v>220</v>
      </c>
      <c r="D84" s="34" t="s">
        <v>4</v>
      </c>
      <c r="E84" s="35">
        <v>83</v>
      </c>
      <c r="F84" s="35" t="s">
        <v>56</v>
      </c>
      <c r="G84" s="35">
        <v>1150</v>
      </c>
      <c r="H84" s="33" t="s">
        <v>57</v>
      </c>
    </row>
    <row r="85" spans="1:8" x14ac:dyDescent="0.25">
      <c r="A85" s="33" t="s">
        <v>323</v>
      </c>
      <c r="B85" s="33" t="s">
        <v>221</v>
      </c>
      <c r="C85" s="33" t="s">
        <v>222</v>
      </c>
      <c r="D85" s="34" t="s">
        <v>4</v>
      </c>
      <c r="E85" s="35">
        <v>84</v>
      </c>
      <c r="F85" s="35" t="s">
        <v>56</v>
      </c>
      <c r="G85" s="35">
        <v>97.62</v>
      </c>
      <c r="H85" s="33" t="s">
        <v>57</v>
      </c>
    </row>
    <row r="86" spans="1:8" x14ac:dyDescent="0.25">
      <c r="A86" s="33" t="s">
        <v>324</v>
      </c>
      <c r="B86" s="33" t="s">
        <v>221</v>
      </c>
      <c r="C86" s="33" t="s">
        <v>223</v>
      </c>
      <c r="D86" s="34" t="s">
        <v>4</v>
      </c>
      <c r="E86" s="35">
        <v>85</v>
      </c>
      <c r="F86" s="35" t="s">
        <v>56</v>
      </c>
      <c r="G86" s="35">
        <v>65.08</v>
      </c>
      <c r="H86" s="33" t="s">
        <v>57</v>
      </c>
    </row>
    <row r="87" spans="1:8" x14ac:dyDescent="0.25">
      <c r="A87" s="33" t="s">
        <v>325</v>
      </c>
      <c r="B87" s="33" t="s">
        <v>221</v>
      </c>
      <c r="C87" s="33" t="s">
        <v>224</v>
      </c>
      <c r="D87" s="34" t="s">
        <v>4</v>
      </c>
      <c r="E87" s="35">
        <v>86</v>
      </c>
      <c r="F87" s="35" t="s">
        <v>244</v>
      </c>
      <c r="G87" s="35">
        <v>668</v>
      </c>
      <c r="H87" s="33" t="s">
        <v>57</v>
      </c>
    </row>
    <row r="88" spans="1:8" x14ac:dyDescent="0.25">
      <c r="A88" s="33" t="s">
        <v>326</v>
      </c>
      <c r="B88" s="33" t="s">
        <v>221</v>
      </c>
      <c r="C88" s="33" t="s">
        <v>225</v>
      </c>
      <c r="D88" s="34" t="s">
        <v>4</v>
      </c>
      <c r="E88" s="35">
        <v>87</v>
      </c>
      <c r="F88" s="35" t="s">
        <v>244</v>
      </c>
      <c r="G88" s="35">
        <v>590</v>
      </c>
      <c r="H88" s="33" t="s">
        <v>57</v>
      </c>
    </row>
    <row r="89" spans="1:8" x14ac:dyDescent="0.25">
      <c r="A89" s="33" t="s">
        <v>327</v>
      </c>
      <c r="B89" s="33" t="s">
        <v>226</v>
      </c>
      <c r="C89" s="33" t="s">
        <v>227</v>
      </c>
      <c r="D89" s="34" t="s">
        <v>4</v>
      </c>
      <c r="E89" s="35">
        <v>88</v>
      </c>
      <c r="F89" s="35" t="s">
        <v>56</v>
      </c>
      <c r="G89" s="35">
        <v>20</v>
      </c>
      <c r="H89" s="33" t="s">
        <v>57</v>
      </c>
    </row>
    <row r="90" spans="1:8" x14ac:dyDescent="0.25">
      <c r="A90" s="33" t="s">
        <v>328</v>
      </c>
      <c r="B90" s="33" t="s">
        <v>226</v>
      </c>
      <c r="C90" s="33" t="s">
        <v>228</v>
      </c>
      <c r="D90" s="34" t="s">
        <v>4</v>
      </c>
      <c r="E90" s="35">
        <v>89</v>
      </c>
      <c r="F90" s="35" t="s">
        <v>56</v>
      </c>
      <c r="G90" s="35">
        <v>15</v>
      </c>
      <c r="H90" s="33" t="s">
        <v>57</v>
      </c>
    </row>
    <row r="91" spans="1:8" x14ac:dyDescent="0.25">
      <c r="A91" s="33" t="s">
        <v>329</v>
      </c>
      <c r="B91" s="33" t="s">
        <v>226</v>
      </c>
      <c r="C91" s="33" t="s">
        <v>229</v>
      </c>
      <c r="D91" s="34" t="s">
        <v>4</v>
      </c>
      <c r="E91" s="35">
        <v>90</v>
      </c>
      <c r="F91" s="35" t="s">
        <v>56</v>
      </c>
      <c r="G91" s="35">
        <v>20</v>
      </c>
      <c r="H91" s="33" t="s">
        <v>57</v>
      </c>
    </row>
    <row r="92" spans="1:8" x14ac:dyDescent="0.25">
      <c r="A92" s="33" t="s">
        <v>330</v>
      </c>
      <c r="B92" s="33" t="s">
        <v>226</v>
      </c>
      <c r="C92" s="33" t="s">
        <v>230</v>
      </c>
      <c r="D92" s="34" t="s">
        <v>4</v>
      </c>
      <c r="E92" s="35">
        <v>91</v>
      </c>
      <c r="F92" s="35" t="s">
        <v>56</v>
      </c>
      <c r="G92" s="35">
        <v>20</v>
      </c>
      <c r="H92" s="33" t="s">
        <v>57</v>
      </c>
    </row>
    <row r="93" spans="1:8" x14ac:dyDescent="0.25">
      <c r="A93" s="33" t="s">
        <v>331</v>
      </c>
      <c r="B93" s="33" t="s">
        <v>226</v>
      </c>
      <c r="C93" s="33" t="s">
        <v>231</v>
      </c>
      <c r="D93" s="34" t="s">
        <v>4</v>
      </c>
      <c r="E93" s="35">
        <v>92</v>
      </c>
      <c r="F93" s="35" t="s">
        <v>56</v>
      </c>
      <c r="G93" s="35">
        <v>19</v>
      </c>
      <c r="H93" s="33" t="s">
        <v>57</v>
      </c>
    </row>
    <row r="94" spans="1:8" x14ac:dyDescent="0.25">
      <c r="A94" s="33" t="s">
        <v>332</v>
      </c>
      <c r="B94" s="33" t="s">
        <v>226</v>
      </c>
      <c r="C94" s="33" t="s">
        <v>232</v>
      </c>
      <c r="D94" s="34" t="s">
        <v>4</v>
      </c>
      <c r="E94" s="35">
        <v>93</v>
      </c>
      <c r="F94" s="35" t="s">
        <v>56</v>
      </c>
      <c r="G94" s="35">
        <v>20</v>
      </c>
      <c r="H94" s="33" t="s">
        <v>57</v>
      </c>
    </row>
    <row r="95" spans="1:8" x14ac:dyDescent="0.25">
      <c r="A95" s="33" t="s">
        <v>333</v>
      </c>
      <c r="B95" s="33" t="s">
        <v>226</v>
      </c>
      <c r="C95" s="33" t="s">
        <v>233</v>
      </c>
      <c r="D95" s="34" t="s">
        <v>4</v>
      </c>
      <c r="E95" s="35">
        <v>94</v>
      </c>
      <c r="F95" s="35" t="s">
        <v>56</v>
      </c>
      <c r="G95" s="35">
        <v>20</v>
      </c>
      <c r="H95" s="33" t="s">
        <v>57</v>
      </c>
    </row>
    <row r="96" spans="1:8" x14ac:dyDescent="0.25">
      <c r="A96" s="33" t="s">
        <v>334</v>
      </c>
      <c r="B96" s="33" t="s">
        <v>226</v>
      </c>
      <c r="C96" s="33" t="s">
        <v>234</v>
      </c>
      <c r="D96" s="34" t="s">
        <v>4</v>
      </c>
      <c r="E96" s="35">
        <v>95</v>
      </c>
      <c r="F96" s="35" t="s">
        <v>56</v>
      </c>
      <c r="G96" s="35">
        <v>2.5</v>
      </c>
      <c r="H96" s="33" t="s">
        <v>57</v>
      </c>
    </row>
    <row r="97" spans="1:8" x14ac:dyDescent="0.25">
      <c r="A97" s="33" t="s">
        <v>335</v>
      </c>
      <c r="B97" s="33" t="s">
        <v>226</v>
      </c>
      <c r="C97" s="33" t="s">
        <v>235</v>
      </c>
      <c r="D97" s="34" t="s">
        <v>4</v>
      </c>
      <c r="E97" s="35">
        <v>96</v>
      </c>
      <c r="F97" s="35" t="s">
        <v>56</v>
      </c>
      <c r="G97" s="35">
        <v>10</v>
      </c>
      <c r="H97" s="33" t="s">
        <v>57</v>
      </c>
    </row>
    <row r="98" spans="1:8" x14ac:dyDescent="0.25">
      <c r="A98" s="33" t="s">
        <v>336</v>
      </c>
      <c r="B98" s="33" t="s">
        <v>226</v>
      </c>
      <c r="C98" s="33" t="s">
        <v>236</v>
      </c>
      <c r="D98" s="34" t="s">
        <v>4</v>
      </c>
      <c r="E98" s="35">
        <v>97</v>
      </c>
      <c r="F98" s="35" t="s">
        <v>56</v>
      </c>
      <c r="G98" s="35">
        <v>15</v>
      </c>
      <c r="H98" s="33" t="s">
        <v>57</v>
      </c>
    </row>
    <row r="99" spans="1:8" x14ac:dyDescent="0.25">
      <c r="A99" s="33" t="s">
        <v>337</v>
      </c>
      <c r="B99" s="33" t="s">
        <v>237</v>
      </c>
      <c r="C99" s="33" t="s">
        <v>238</v>
      </c>
      <c r="D99" s="34" t="s">
        <v>4</v>
      </c>
      <c r="E99" s="35">
        <v>98</v>
      </c>
      <c r="F99" s="35" t="s">
        <v>56</v>
      </c>
      <c r="G99" s="35">
        <v>1.4</v>
      </c>
      <c r="H99" s="33" t="s">
        <v>57</v>
      </c>
    </row>
    <row r="100" spans="1:8" x14ac:dyDescent="0.25">
      <c r="A100" s="36" t="s">
        <v>338</v>
      </c>
      <c r="B100" s="33" t="s">
        <v>237</v>
      </c>
      <c r="C100" s="33" t="s">
        <v>239</v>
      </c>
      <c r="D100" s="34" t="s">
        <v>4</v>
      </c>
      <c r="E100" s="35">
        <v>99</v>
      </c>
      <c r="F100" s="35" t="s">
        <v>56</v>
      </c>
      <c r="G100" s="35">
        <v>1.6</v>
      </c>
      <c r="H100" s="33" t="s">
        <v>57</v>
      </c>
    </row>
    <row r="101" spans="1:8" x14ac:dyDescent="0.25">
      <c r="A101" s="36" t="s">
        <v>339</v>
      </c>
      <c r="B101" s="33" t="s">
        <v>391</v>
      </c>
      <c r="C101" s="33" t="s">
        <v>340</v>
      </c>
      <c r="D101" s="34" t="s">
        <v>4</v>
      </c>
      <c r="E101" s="35">
        <v>100</v>
      </c>
      <c r="F101" s="35" t="s">
        <v>244</v>
      </c>
      <c r="G101" s="35">
        <v>1.85</v>
      </c>
      <c r="H101" s="33" t="s">
        <v>57</v>
      </c>
    </row>
    <row r="102" spans="1:8" x14ac:dyDescent="0.25">
      <c r="A102" s="36" t="s">
        <v>341</v>
      </c>
      <c r="B102" s="33" t="s">
        <v>391</v>
      </c>
      <c r="C102" s="33" t="s">
        <v>342</v>
      </c>
      <c r="D102" s="34" t="s">
        <v>4</v>
      </c>
      <c r="E102" s="35">
        <v>101</v>
      </c>
      <c r="F102" s="35" t="s">
        <v>244</v>
      </c>
      <c r="G102" s="35">
        <v>4.8</v>
      </c>
      <c r="H102" s="33" t="s">
        <v>57</v>
      </c>
    </row>
  </sheetData>
  <autoFilter ref="A1:F41">
    <sortState ref="A2:F41">
      <sortCondition ref="D1:D41"/>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Energy Settlements</vt:lpstr>
      <vt:lpstr>Energy Pivot</vt:lpstr>
      <vt:lpstr>Motoring Data</vt:lpstr>
      <vt:lpstr>Settlements Data</vt:lpstr>
      <vt:lpstr>UOG List</vt:lpstr>
      <vt:lpstr>'Energy Settlements'!Print_Area</vt:lpstr>
      <vt:lpstr>'Energy Settlements'!Print_Titles</vt:lpstr>
    </vt:vector>
  </TitlesOfParts>
  <Company>Pacific Gas and Electric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Chemparathy, Joshua</dc:creator>
  <cp:lastModifiedBy>Alfaro, Manuel A</cp:lastModifiedBy>
  <cp:lastPrinted>2017-08-02T21:47:58Z</cp:lastPrinted>
  <dcterms:created xsi:type="dcterms:W3CDTF">2016-11-16T19:21:25Z</dcterms:created>
  <dcterms:modified xsi:type="dcterms:W3CDTF">2017-11-22T19:13:41Z</dcterms:modified>
</cp:coreProperties>
</file>